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charvithakkar/Desktop/PSY310/"/>
    </mc:Choice>
  </mc:AlternateContent>
  <xr:revisionPtr revIDLastSave="0" documentId="13_ncr:1_{3C7ECF8B-984F-9E45-B29A-344FDBE6A120}" xr6:coauthVersionLast="47" xr6:coauthVersionMax="47" xr10:uidLastSave="{00000000-0000-0000-0000-000000000000}"/>
  <bookViews>
    <workbookView xWindow="0" yWindow="840" windowWidth="34200" windowHeight="21400" activeTab="1" xr2:uid="{00000000-000D-0000-FFFF-FFFF00000000}"/>
  </bookViews>
  <sheets>
    <sheet name="Sheet 1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2" i="2" l="1"/>
  <c r="M40" i="2"/>
  <c r="M38" i="2"/>
</calcChain>
</file>

<file path=xl/sharedStrings.xml><?xml version="1.0" encoding="utf-8"?>
<sst xmlns="http://schemas.openxmlformats.org/spreadsheetml/2006/main" count="1181" uniqueCount="170">
  <si>
    <t>study_word</t>
  </si>
  <si>
    <t>thisN</t>
  </si>
  <si>
    <t>thisTrialN</t>
  </si>
  <si>
    <t>thisRepN</t>
  </si>
  <si>
    <t>StudySlider.response</t>
  </si>
  <si>
    <t>StudySlider.rt</t>
  </si>
  <si>
    <t>test_word</t>
  </si>
  <si>
    <t>Reference</t>
  </si>
  <si>
    <t>old_new</t>
  </si>
  <si>
    <t>textbox.text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</si>
  <si>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</si>
  <si>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</si>
  <si>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</si>
  <si>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</si>
  <si>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</si>
  <si>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</si>
  <si>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</si>
  <si>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</si>
  <si>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</si>
  <si>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</si>
  <si>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</si>
  <si>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</si>
  <si>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</si>
  <si>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</si>
  <si>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</si>
  <si>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</si>
  <si>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</si>
  <si>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</si>
  <si>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StudyText.started</t>
  </si>
  <si>
    <t>StudySlider.started</t>
  </si>
  <si>
    <t>trial.stopped</t>
  </si>
  <si>
    <t>trials.StudySlider.response</t>
  </si>
  <si>
    <t>trials.StudySlider.rt</t>
  </si>
  <si>
    <t>test.started</t>
  </si>
  <si>
    <t>TestText.started</t>
  </si>
  <si>
    <t>textbox.started</t>
  </si>
  <si>
    <t>submit_text.started</t>
  </si>
  <si>
    <t>mouse.started</t>
  </si>
  <si>
    <t>test.stopped</t>
  </si>
  <si>
    <t>trials_2.textbox.text</t>
  </si>
  <si>
    <t>trials_2.mouse.x</t>
  </si>
  <si>
    <t>trials_2.mouse.y</t>
  </si>
  <si>
    <t>trials_2.mouse.leftButton</t>
  </si>
  <si>
    <t>trials_2.mouse.midButton</t>
  </si>
  <si>
    <t>trials_2.mouse.rightButton</t>
  </si>
  <si>
    <t>trials_2.mouse.time</t>
  </si>
  <si>
    <t>trials_2.mouse.clicked_name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</si>
  <si>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</si>
  <si>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</si>
  <si>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</si>
  <si>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</si>
  <si>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</si>
  <si>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</si>
  <si>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</si>
  <si>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</si>
  <si>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Keys</t>
  </si>
  <si>
    <t>2025-10-17_23h08.24.499</t>
  </si>
  <si>
    <t>word priming pra</t>
  </si>
  <si>
    <t>2025.1.1</t>
  </si>
  <si>
    <t>2025-10-17 23h08.32.237176 +0530</t>
  </si>
  <si>
    <t>cushion</t>
  </si>
  <si>
    <t>Police</t>
  </si>
  <si>
    <t>Tshirt</t>
  </si>
  <si>
    <t>Pastry</t>
  </si>
  <si>
    <t>Cruise</t>
  </si>
  <si>
    <t>Case</t>
  </si>
  <si>
    <t>Poster</t>
  </si>
  <si>
    <t>mouse</t>
  </si>
  <si>
    <t>book</t>
  </si>
  <si>
    <t>Chart</t>
  </si>
  <si>
    <t>marble</t>
  </si>
  <si>
    <t>board</t>
  </si>
  <si>
    <t>phone</t>
  </si>
  <si>
    <t>Laptop</t>
  </si>
  <si>
    <t>c_m_ra</t>
  </si>
  <si>
    <t>Camera</t>
  </si>
  <si>
    <t>new</t>
  </si>
  <si>
    <t>camera</t>
  </si>
  <si>
    <t>[np.float64(0.022482014388489208)]</t>
  </si>
  <si>
    <t>[np.float64(-0.3183453237410072)]</t>
  </si>
  <si>
    <t>[1]</t>
  </si>
  <si>
    <t>[0]</t>
  </si>
  <si>
    <t>[5.2946919170208275]</t>
  </si>
  <si>
    <t>['submit_text']</t>
  </si>
  <si>
    <t>v_s_</t>
  </si>
  <si>
    <t>Vase</t>
  </si>
  <si>
    <t>vase</t>
  </si>
  <si>
    <t>[np.float64(0.012589928057553957)]</t>
  </si>
  <si>
    <t>[np.float64(-0.28327338129496404)]</t>
  </si>
  <si>
    <t>[2.5869929580949247]</t>
  </si>
  <si>
    <t>P_s_tr_</t>
  </si>
  <si>
    <t>old</t>
  </si>
  <si>
    <t>pastry</t>
  </si>
  <si>
    <t>[np.float64(0.018884892086330936)]</t>
  </si>
  <si>
    <t>[np.float64(-0.31744604316546765)]</t>
  </si>
  <si>
    <t>[4.696148707997054]</t>
  </si>
  <si>
    <t>_ou_e</t>
  </si>
  <si>
    <t>[np.float64(-0.2733812949640288)]</t>
  </si>
  <si>
    <t>[2.5974186670500785]</t>
  </si>
  <si>
    <t>K_y_</t>
  </si>
  <si>
    <t>keys</t>
  </si>
  <si>
    <t>[np.float64(0.008992805755395683), np.float64(-0.009892086330935251)]</t>
  </si>
  <si>
    <t>[np.float64(-0.2715827338129496), np.float64(-0.28776978417266186)]</t>
  </si>
  <si>
    <t>[1, 1]</t>
  </si>
  <si>
    <t>[0, 0]</t>
  </si>
  <si>
    <t>[2.7806108749937266, 3.765164750162512]</t>
  </si>
  <si>
    <t>[None, 'submit_text']</t>
  </si>
  <si>
    <t>p_nc_l</t>
  </si>
  <si>
    <t>Pencil</t>
  </si>
  <si>
    <t>pencil</t>
  </si>
  <si>
    <t>[np.float64(-0.024280575539568347)]</t>
  </si>
  <si>
    <t>[np.float64(-0.29856115107913667)]</t>
  </si>
  <si>
    <t>[2.4454801250249147]</t>
  </si>
  <si>
    <t>P_li_e</t>
  </si>
  <si>
    <t>police</t>
  </si>
  <si>
    <t>[np.float64(-0.026079136690647483)]</t>
  </si>
  <si>
    <t>[np.float64(-0.30485611510791366)]</t>
  </si>
  <si>
    <t>[2.7984130829572678]</t>
  </si>
  <si>
    <t>_ha_t</t>
  </si>
  <si>
    <t>chart</t>
  </si>
  <si>
    <t>[]</t>
  </si>
  <si>
    <t>ta_l_</t>
  </si>
  <si>
    <t>Table</t>
  </si>
  <si>
    <t>[0.21422287495806813]</t>
  </si>
  <si>
    <t>_a_bl_</t>
  </si>
  <si>
    <t>Marble</t>
  </si>
  <si>
    <t>table</t>
  </si>
  <si>
    <t>[2.480803915997967]</t>
  </si>
  <si>
    <t>T_hi_t</t>
  </si>
  <si>
    <t>tshirt</t>
  </si>
  <si>
    <t>[2.232038459042087]</t>
  </si>
  <si>
    <t>l_pt_p</t>
  </si>
  <si>
    <t>laptop</t>
  </si>
  <si>
    <t>[2.0821428750641644]</t>
  </si>
  <si>
    <t>_ru_s_</t>
  </si>
  <si>
    <t>cruise</t>
  </si>
  <si>
    <t>[2.428381958976388]</t>
  </si>
  <si>
    <t>bo_t_e</t>
  </si>
  <si>
    <t>Bottle</t>
  </si>
  <si>
    <t>bottle</t>
  </si>
  <si>
    <t>[2.316459625028074]</t>
  </si>
  <si>
    <t>_o_rd</t>
  </si>
  <si>
    <t>Board</t>
  </si>
  <si>
    <t>[2.3803785829804838]</t>
  </si>
  <si>
    <t>P_st_r</t>
  </si>
  <si>
    <t>poster</t>
  </si>
  <si>
    <t>[2.3153454998973757]</t>
  </si>
  <si>
    <t>_ho_e</t>
  </si>
  <si>
    <t>Phone</t>
  </si>
  <si>
    <t>shore</t>
  </si>
  <si>
    <t>[3.3801104999147356]</t>
  </si>
  <si>
    <t>c_s_</t>
  </si>
  <si>
    <t>case</t>
  </si>
  <si>
    <t>[np.float64(-0.023381294964028777)]</t>
  </si>
  <si>
    <t>[np.float64(-0.29136690647482016)]</t>
  </si>
  <si>
    <t>[1.8476492918562144]</t>
  </si>
  <si>
    <t>_oo_</t>
  </si>
  <si>
    <t>Book</t>
  </si>
  <si>
    <t>[np.float64(-0.2778776978417266)]</t>
  </si>
  <si>
    <t>[1.9648919589817524]</t>
  </si>
  <si>
    <t>c_s_io_</t>
  </si>
  <si>
    <t>Cushion</t>
  </si>
  <si>
    <t>[np.float64(-0.029676258992805755)]</t>
  </si>
  <si>
    <t>[np.float64(-0.27697841726618705)]</t>
  </si>
  <si>
    <t>[2.7811209589708596]</t>
  </si>
  <si>
    <t>prop hit stuyd list</t>
  </si>
  <si>
    <t>13 by 14</t>
  </si>
  <si>
    <t>prop hit test list</t>
  </si>
  <si>
    <t>4 by 5</t>
  </si>
  <si>
    <t>prime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</si>
</sst>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9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0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49" fontId="0" fillId="0" borderId="7" xfId="0" applyNumberFormat="1" applyBorder="1" applyAlignment="1">
      <alignment vertical="top"/>
    </xf>
    <xf numFmtId="0" fontId="1" fillId="3" borderId="5" xfId="0" applyFont="1" applyFill="1" applyBorder="1" applyAlignment="1">
      <alignment vertical="top"/>
    </xf>
    <xf numFmtId="49" fontId="0" fillId="4" borderId="7" xfId="0" applyNumberFormat="1" applyFill="1" applyBorder="1" applyAlignment="1">
      <alignment vertical="top"/>
    </xf>
    <xf numFmtId="0" fontId="0" fillId="4" borderId="7" xfId="0" applyFill="1" applyBorder="1" applyAlignment="1">
      <alignment vertical="top"/>
    </xf>
    <xf numFmtId="0" fontId="2" fillId="0" borderId="0" xfId="0" applyFont="1">
      <alignment vertical="top" wrapText="1"/>
    </xf>
    <xf numFmtId="49" fontId="0" fillId="0" borderId="0" xfId="0" applyNumberFormat="1" applyFont="1" applyFill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D36"/>
  <sheetViews>
    <sheetView showGridLines="0" workbookViewId="0">
      <selection sqref="A1:BD36"/>
    </sheetView>
  </sheetViews>
  <sheetFormatPr baseColWidth="10" defaultColWidth="8.33203125" defaultRowHeight="20" customHeight="1" x14ac:dyDescent="0.15"/>
  <cols>
    <col min="1" max="1" width="10.6640625" style="1" customWidth="1"/>
    <col min="2" max="2" width="5.6640625" style="1" customWidth="1"/>
    <col min="3" max="3" width="9" style="1" customWidth="1"/>
    <col min="4" max="4" width="8.83203125" style="1" customWidth="1"/>
    <col min="5" max="5" width="18.1640625" style="1" customWidth="1"/>
    <col min="6" max="6" width="17.6640625" style="1" customWidth="1"/>
    <col min="7" max="7" width="9.33203125" style="1" customWidth="1"/>
    <col min="8" max="8" width="9.6640625" style="1" customWidth="1"/>
    <col min="9" max="9" width="8" style="1" customWidth="1"/>
    <col min="10" max="10" width="11" style="1" customWidth="1"/>
    <col min="11" max="11" width="56.6640625" style="1" customWidth="1"/>
    <col min="12" max="12" width="54.6640625" style="1" customWidth="1"/>
    <col min="13" max="13" width="15.1640625" style="1" customWidth="1"/>
    <col min="14" max="14" width="15.6640625" style="1" customWidth="1"/>
    <col min="15" max="15" width="16.33203125" style="1" customWidth="1"/>
    <col min="16" max="16" width="34.83203125" style="1" customWidth="1"/>
    <col min="17" max="17" width="18.33203125" style="1" customWidth="1"/>
    <col min="18" max="18" width="13.1640625" style="1" customWidth="1"/>
    <col min="19" max="19" width="13.33203125" style="1" customWidth="1"/>
    <col min="20" max="20" width="10" style="1" customWidth="1"/>
    <col min="21" max="21" width="13.1640625" style="1" customWidth="1"/>
    <col min="22" max="22" width="15" style="1" customWidth="1"/>
    <col min="23" max="23" width="15.1640625" style="1" customWidth="1"/>
    <col min="24" max="24" width="11.83203125" style="1" customWidth="1"/>
    <col min="25" max="25" width="14.83203125" style="1" customWidth="1"/>
    <col min="26" max="26" width="19.5" style="1" customWidth="1"/>
    <col min="27" max="27" width="6" style="1" customWidth="1"/>
    <col min="28" max="30" width="19.5" style="1" customWidth="1"/>
    <col min="31" max="31" width="17.6640625" style="1" customWidth="1"/>
    <col min="32" max="32" width="22.6640625" style="1" customWidth="1"/>
    <col min="33" max="37" width="17.6640625" style="1" customWidth="1"/>
    <col min="38" max="38" width="20.5" style="1" customWidth="1"/>
    <col min="39" max="39" width="17.6640625" style="1" customWidth="1"/>
    <col min="40" max="40" width="17.1640625" style="1" customWidth="1"/>
    <col min="41" max="41" width="56.6640625" style="1" customWidth="1"/>
    <col min="42" max="42" width="54.6640625" style="1" customWidth="1"/>
    <col min="43" max="43" width="21.33203125" style="1" customWidth="1"/>
    <col min="44" max="44" width="21.83203125" style="1" customWidth="1"/>
    <col min="45" max="45" width="22.5" style="1" customWidth="1"/>
    <col min="46" max="46" width="34.83203125" style="1" customWidth="1"/>
    <col min="47" max="47" width="24.5" style="1" customWidth="1"/>
    <col min="48" max="48" width="10" style="1" customWidth="1"/>
    <col min="49" max="49" width="7.5" style="1" customWidth="1"/>
    <col min="50" max="50" width="21.1640625" style="1" customWidth="1"/>
    <col min="51" max="51" width="14.1640625" style="1" customWidth="1"/>
    <col min="52" max="52" width="10.1640625" style="1" customWidth="1"/>
    <col min="53" max="53" width="15" style="1" customWidth="1"/>
    <col min="54" max="54" width="16.83203125" style="1" customWidth="1"/>
    <col min="55" max="55" width="28.83203125" style="1" customWidth="1"/>
    <col min="56" max="57" width="8.33203125" style="1" customWidth="1"/>
    <col min="58" max="16384" width="8.33203125" style="1"/>
  </cols>
  <sheetData>
    <row r="1" spans="1:56" ht="20.2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3"/>
    </row>
    <row r="2" spans="1:56" ht="20.25" customHeight="1" x14ac:dyDescent="0.15">
      <c r="A2" s="4" t="s">
        <v>55</v>
      </c>
      <c r="B2" s="5">
        <v>0</v>
      </c>
      <c r="C2" s="6">
        <v>0</v>
      </c>
      <c r="D2" s="6">
        <v>0</v>
      </c>
      <c r="E2" s="6">
        <v>1.16187050359712</v>
      </c>
      <c r="F2" s="6">
        <v>3.09314937493764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6">
        <v>0</v>
      </c>
      <c r="S2" s="6">
        <v>0</v>
      </c>
      <c r="T2" s="6">
        <v>0</v>
      </c>
      <c r="U2" s="6">
        <v>13</v>
      </c>
      <c r="V2" s="7"/>
      <c r="W2" s="7"/>
      <c r="X2" s="7"/>
      <c r="Y2" s="7"/>
      <c r="Z2" s="6">
        <v>5.9962499886751203E-2</v>
      </c>
      <c r="AA2" s="7"/>
      <c r="AB2" s="6">
        <v>3.6934749921783798E-2</v>
      </c>
      <c r="AC2" s="6">
        <v>5.9962499886751203E-2</v>
      </c>
      <c r="AD2" s="6">
        <v>5.9962499886751203E-2</v>
      </c>
      <c r="AE2" s="6">
        <v>3.1389481250662401</v>
      </c>
      <c r="AF2" s="6">
        <v>1.16187050359712</v>
      </c>
      <c r="AG2" s="6">
        <v>3.09314937493764</v>
      </c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6">
        <v>3</v>
      </c>
      <c r="AW2" s="6">
        <v>1</v>
      </c>
      <c r="AX2" s="8" t="s">
        <v>56</v>
      </c>
      <c r="AY2" s="8" t="s">
        <v>57</v>
      </c>
      <c r="AZ2" s="7"/>
      <c r="BA2" s="8" t="s">
        <v>58</v>
      </c>
      <c r="BB2" s="6">
        <v>121.577406020962</v>
      </c>
      <c r="BC2" s="8" t="s">
        <v>59</v>
      </c>
      <c r="BD2" s="7"/>
    </row>
    <row r="3" spans="1:56" ht="20" customHeight="1" x14ac:dyDescent="0.15">
      <c r="A3" s="9" t="s">
        <v>60</v>
      </c>
      <c r="B3" s="10">
        <v>1</v>
      </c>
      <c r="C3" s="11">
        <v>1</v>
      </c>
      <c r="D3" s="11">
        <v>0</v>
      </c>
      <c r="E3" s="11">
        <v>1.1546762589928099</v>
      </c>
      <c r="F3" s="11">
        <v>0.95504058385267898</v>
      </c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1">
        <v>0</v>
      </c>
      <c r="S3" s="11">
        <v>1</v>
      </c>
      <c r="T3" s="11">
        <v>1</v>
      </c>
      <c r="U3" s="11">
        <v>1</v>
      </c>
      <c r="V3" s="12"/>
      <c r="W3" s="12"/>
      <c r="X3" s="12"/>
      <c r="Y3" s="12"/>
      <c r="Z3" s="11">
        <v>3.1492061670869602</v>
      </c>
      <c r="AA3" s="12"/>
      <c r="AB3" s="11">
        <v>3.14241870795377</v>
      </c>
      <c r="AC3" s="11">
        <v>3.1492061670869602</v>
      </c>
      <c r="AD3" s="11">
        <v>3.1492061670869602</v>
      </c>
      <c r="AE3" s="11">
        <v>4.1051317499950501</v>
      </c>
      <c r="AF3" s="11">
        <v>1.1546762589928099</v>
      </c>
      <c r="AG3" s="11">
        <v>0.95504058385267898</v>
      </c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1">
        <v>3</v>
      </c>
      <c r="AW3" s="11">
        <v>1</v>
      </c>
      <c r="AX3" s="13" t="s">
        <v>56</v>
      </c>
      <c r="AY3" s="13" t="s">
        <v>57</v>
      </c>
      <c r="AZ3" s="12"/>
      <c r="BA3" s="13" t="s">
        <v>58</v>
      </c>
      <c r="BB3" s="11">
        <v>121.577406020962</v>
      </c>
      <c r="BC3" s="13" t="s">
        <v>59</v>
      </c>
      <c r="BD3" s="12"/>
    </row>
    <row r="4" spans="1:56" ht="20" customHeight="1" x14ac:dyDescent="0.15">
      <c r="A4" s="9" t="s">
        <v>61</v>
      </c>
      <c r="B4" s="10">
        <v>2</v>
      </c>
      <c r="C4" s="11">
        <v>2</v>
      </c>
      <c r="D4" s="11">
        <v>0</v>
      </c>
      <c r="E4" s="11">
        <v>1.1582733812949599</v>
      </c>
      <c r="F4" s="11">
        <v>0.841407458065078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1">
        <v>0</v>
      </c>
      <c r="S4" s="11">
        <v>2</v>
      </c>
      <c r="T4" s="11">
        <v>2</v>
      </c>
      <c r="U4" s="11">
        <v>12</v>
      </c>
      <c r="V4" s="12"/>
      <c r="W4" s="12"/>
      <c r="X4" s="12"/>
      <c r="Y4" s="12"/>
      <c r="Z4" s="11">
        <v>4.1150028330739596</v>
      </c>
      <c r="AA4" s="12"/>
      <c r="AB4" s="11">
        <v>4.1079033329151597</v>
      </c>
      <c r="AC4" s="11">
        <v>4.1150028330739596</v>
      </c>
      <c r="AD4" s="11">
        <v>4.1150028330739596</v>
      </c>
      <c r="AE4" s="11">
        <v>4.9733254169113899</v>
      </c>
      <c r="AF4" s="11">
        <v>1.1582733812949599</v>
      </c>
      <c r="AG4" s="11">
        <v>0.841407458065078</v>
      </c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1">
        <v>3</v>
      </c>
      <c r="AW4" s="11">
        <v>1</v>
      </c>
      <c r="AX4" s="13" t="s">
        <v>56</v>
      </c>
      <c r="AY4" s="13" t="s">
        <v>57</v>
      </c>
      <c r="AZ4" s="12"/>
      <c r="BA4" s="13" t="s">
        <v>58</v>
      </c>
      <c r="BB4" s="11">
        <v>121.577406020962</v>
      </c>
      <c r="BC4" s="13" t="s">
        <v>59</v>
      </c>
      <c r="BD4" s="12"/>
    </row>
    <row r="5" spans="1:56" ht="20" customHeight="1" x14ac:dyDescent="0.15">
      <c r="A5" s="9" t="s">
        <v>62</v>
      </c>
      <c r="B5" s="10">
        <v>3</v>
      </c>
      <c r="C5" s="11">
        <v>3</v>
      </c>
      <c r="D5" s="11">
        <v>0</v>
      </c>
      <c r="E5" s="11">
        <v>1.16187050359712</v>
      </c>
      <c r="F5" s="11">
        <v>0.88724408415146205</v>
      </c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1">
        <v>0</v>
      </c>
      <c r="S5" s="11">
        <v>3</v>
      </c>
      <c r="T5" s="11">
        <v>3</v>
      </c>
      <c r="U5" s="11">
        <v>7</v>
      </c>
      <c r="V5" s="12"/>
      <c r="W5" s="12"/>
      <c r="X5" s="12"/>
      <c r="Y5" s="12"/>
      <c r="Z5" s="11">
        <v>4.9892721250653302</v>
      </c>
      <c r="AA5" s="12"/>
      <c r="AB5" s="11">
        <v>4.9769947919994602</v>
      </c>
      <c r="AC5" s="11">
        <v>4.9892721250653302</v>
      </c>
      <c r="AD5" s="11">
        <v>4.9892721250653302</v>
      </c>
      <c r="AE5" s="11">
        <v>5.8724832918960601</v>
      </c>
      <c r="AF5" s="11">
        <v>1.16187050359712</v>
      </c>
      <c r="AG5" s="11">
        <v>0.88724408415146205</v>
      </c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1">
        <v>3</v>
      </c>
      <c r="AW5" s="11">
        <v>1</v>
      </c>
      <c r="AX5" s="13" t="s">
        <v>56</v>
      </c>
      <c r="AY5" s="13" t="s">
        <v>57</v>
      </c>
      <c r="AZ5" s="12"/>
      <c r="BA5" s="13" t="s">
        <v>58</v>
      </c>
      <c r="BB5" s="11">
        <v>121.577406020962</v>
      </c>
      <c r="BC5" s="13" t="s">
        <v>59</v>
      </c>
      <c r="BD5" s="12"/>
    </row>
    <row r="6" spans="1:56" ht="20" customHeight="1" x14ac:dyDescent="0.15">
      <c r="A6" s="9" t="s">
        <v>63</v>
      </c>
      <c r="B6" s="10">
        <v>4</v>
      </c>
      <c r="C6" s="11">
        <v>4</v>
      </c>
      <c r="D6" s="11">
        <v>0</v>
      </c>
      <c r="E6" s="11">
        <v>1.42086330935252</v>
      </c>
      <c r="F6" s="11">
        <v>1.2211024998687201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1">
        <v>0</v>
      </c>
      <c r="S6" s="11">
        <v>4</v>
      </c>
      <c r="T6" s="11">
        <v>4</v>
      </c>
      <c r="U6" s="11">
        <v>9</v>
      </c>
      <c r="V6" s="12"/>
      <c r="W6" s="12"/>
      <c r="X6" s="12"/>
      <c r="Y6" s="12"/>
      <c r="Z6" s="11">
        <v>5.8818446670193198</v>
      </c>
      <c r="AA6" s="12"/>
      <c r="AB6" s="11">
        <v>5.8753090829122803</v>
      </c>
      <c r="AC6" s="11">
        <v>5.8818446670193198</v>
      </c>
      <c r="AD6" s="11">
        <v>5.8818446670193198</v>
      </c>
      <c r="AE6" s="11">
        <v>7.1055752499960398</v>
      </c>
      <c r="AF6" s="11">
        <v>1.42086330935252</v>
      </c>
      <c r="AG6" s="11">
        <v>1.2211024998687201</v>
      </c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1">
        <v>3</v>
      </c>
      <c r="AW6" s="11">
        <v>1</v>
      </c>
      <c r="AX6" s="13" t="s">
        <v>56</v>
      </c>
      <c r="AY6" s="13" t="s">
        <v>57</v>
      </c>
      <c r="AZ6" s="12"/>
      <c r="BA6" s="13" t="s">
        <v>58</v>
      </c>
      <c r="BB6" s="11">
        <v>121.577406020962</v>
      </c>
      <c r="BC6" s="13" t="s">
        <v>59</v>
      </c>
      <c r="BD6" s="12"/>
    </row>
    <row r="7" spans="1:56" ht="20" customHeight="1" x14ac:dyDescent="0.15">
      <c r="A7" s="9" t="s">
        <v>64</v>
      </c>
      <c r="B7" s="10">
        <v>5</v>
      </c>
      <c r="C7" s="11">
        <v>5</v>
      </c>
      <c r="D7" s="11">
        <v>0</v>
      </c>
      <c r="E7" s="11">
        <v>1.0647482014388501</v>
      </c>
      <c r="F7" s="11">
        <v>1.89075070782565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1">
        <v>0</v>
      </c>
      <c r="S7" s="11">
        <v>5</v>
      </c>
      <c r="T7" s="11">
        <v>5</v>
      </c>
      <c r="U7" s="11">
        <v>11</v>
      </c>
      <c r="V7" s="12"/>
      <c r="W7" s="12"/>
      <c r="X7" s="12"/>
      <c r="Y7" s="12"/>
      <c r="Z7" s="11">
        <v>7.1133177499286804</v>
      </c>
      <c r="AA7" s="12"/>
      <c r="AB7" s="11">
        <v>7.1071558329276696</v>
      </c>
      <c r="AC7" s="11">
        <v>7.1133177499286804</v>
      </c>
      <c r="AD7" s="11">
        <v>7.1133177499286804</v>
      </c>
      <c r="AE7" s="11">
        <v>9.0055131670087594</v>
      </c>
      <c r="AF7" s="11">
        <v>1.0647482014388501</v>
      </c>
      <c r="AG7" s="11">
        <v>1.89075070782565</v>
      </c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1">
        <v>3</v>
      </c>
      <c r="AW7" s="11">
        <v>1</v>
      </c>
      <c r="AX7" s="13" t="s">
        <v>56</v>
      </c>
      <c r="AY7" s="13" t="s">
        <v>57</v>
      </c>
      <c r="AZ7" s="12"/>
      <c r="BA7" s="13" t="s">
        <v>58</v>
      </c>
      <c r="BB7" s="11">
        <v>121.577406020962</v>
      </c>
      <c r="BC7" s="13" t="s">
        <v>59</v>
      </c>
      <c r="BD7" s="12"/>
    </row>
    <row r="8" spans="1:56" ht="20" customHeight="1" x14ac:dyDescent="0.15">
      <c r="A8" s="9" t="s">
        <v>65</v>
      </c>
      <c r="B8" s="10">
        <v>6</v>
      </c>
      <c r="C8" s="11">
        <v>6</v>
      </c>
      <c r="D8" s="11">
        <v>0</v>
      </c>
      <c r="E8" s="11">
        <v>1.11510791366906</v>
      </c>
      <c r="F8" s="11">
        <v>1.02391954185441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1">
        <v>0</v>
      </c>
      <c r="S8" s="11">
        <v>6</v>
      </c>
      <c r="T8" s="11">
        <v>6</v>
      </c>
      <c r="U8" s="11">
        <v>10</v>
      </c>
      <c r="V8" s="12"/>
      <c r="W8" s="12"/>
      <c r="X8" s="12"/>
      <c r="Y8" s="12"/>
      <c r="Z8" s="11">
        <v>9.0146225830540097</v>
      </c>
      <c r="AA8" s="12"/>
      <c r="AB8" s="11">
        <v>9.0072522079572099</v>
      </c>
      <c r="AC8" s="11">
        <v>9.0146225830540097</v>
      </c>
      <c r="AD8" s="11">
        <v>9.0146225830540097</v>
      </c>
      <c r="AE8" s="11">
        <v>10.038619708037</v>
      </c>
      <c r="AF8" s="11">
        <v>1.11510791366906</v>
      </c>
      <c r="AG8" s="11">
        <v>1.02391954185441</v>
      </c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1">
        <v>3</v>
      </c>
      <c r="AW8" s="11">
        <v>1</v>
      </c>
      <c r="AX8" s="13" t="s">
        <v>56</v>
      </c>
      <c r="AY8" s="13" t="s">
        <v>57</v>
      </c>
      <c r="AZ8" s="12"/>
      <c r="BA8" s="13" t="s">
        <v>58</v>
      </c>
      <c r="BB8" s="11">
        <v>121.577406020962</v>
      </c>
      <c r="BC8" s="13" t="s">
        <v>59</v>
      </c>
      <c r="BD8" s="12"/>
    </row>
    <row r="9" spans="1:56" ht="20" customHeight="1" x14ac:dyDescent="0.15">
      <c r="A9" s="9" t="s">
        <v>66</v>
      </c>
      <c r="B9" s="10">
        <v>7</v>
      </c>
      <c r="C9" s="11">
        <v>7</v>
      </c>
      <c r="D9" s="11">
        <v>0</v>
      </c>
      <c r="E9" s="11">
        <v>1.11510791366906</v>
      </c>
      <c r="F9" s="11">
        <v>1.1724505829624801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1">
        <v>0</v>
      </c>
      <c r="S9" s="11">
        <v>7</v>
      </c>
      <c r="T9" s="11">
        <v>7</v>
      </c>
      <c r="U9" s="11">
        <v>14</v>
      </c>
      <c r="V9" s="12"/>
      <c r="W9" s="12"/>
      <c r="X9" s="12"/>
      <c r="Y9" s="12"/>
      <c r="Z9" s="11">
        <v>10.04771850002</v>
      </c>
      <c r="AA9" s="12"/>
      <c r="AB9" s="11">
        <v>10.040527499979399</v>
      </c>
      <c r="AC9" s="11">
        <v>10.04771850002</v>
      </c>
      <c r="AD9" s="11">
        <v>10.04771850002</v>
      </c>
      <c r="AE9" s="11">
        <v>11.222286792006299</v>
      </c>
      <c r="AF9" s="11">
        <v>1.11510791366906</v>
      </c>
      <c r="AG9" s="11">
        <v>1.1724505829624801</v>
      </c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1">
        <v>3</v>
      </c>
      <c r="AW9" s="11">
        <v>1</v>
      </c>
      <c r="AX9" s="13" t="s">
        <v>56</v>
      </c>
      <c r="AY9" s="13" t="s">
        <v>57</v>
      </c>
      <c r="AZ9" s="12"/>
      <c r="BA9" s="13" t="s">
        <v>58</v>
      </c>
      <c r="BB9" s="11">
        <v>121.577406020962</v>
      </c>
      <c r="BC9" s="13" t="s">
        <v>59</v>
      </c>
      <c r="BD9" s="12"/>
    </row>
    <row r="10" spans="1:56" ht="20" customHeight="1" x14ac:dyDescent="0.15">
      <c r="A10" s="9" t="s">
        <v>67</v>
      </c>
      <c r="B10" s="10">
        <v>8</v>
      </c>
      <c r="C10" s="11">
        <v>8</v>
      </c>
      <c r="D10" s="11">
        <v>0</v>
      </c>
      <c r="E10" s="11">
        <v>1.4856115107913701</v>
      </c>
      <c r="F10" s="11">
        <v>1.7408169999253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1">
        <v>0</v>
      </c>
      <c r="S10" s="11">
        <v>8</v>
      </c>
      <c r="T10" s="11">
        <v>8</v>
      </c>
      <c r="U10" s="11">
        <v>8</v>
      </c>
      <c r="V10" s="12"/>
      <c r="W10" s="12"/>
      <c r="X10" s="12"/>
      <c r="Y10" s="12"/>
      <c r="Z10" s="11">
        <v>11.2305536249187</v>
      </c>
      <c r="AA10" s="12"/>
      <c r="AB10" s="11">
        <v>11.2240647079889</v>
      </c>
      <c r="AC10" s="11">
        <v>11.2305536249187</v>
      </c>
      <c r="AD10" s="11">
        <v>11.2305536249187</v>
      </c>
      <c r="AE10" s="11">
        <v>12.972376875113699</v>
      </c>
      <c r="AF10" s="11">
        <v>1.4856115107913701</v>
      </c>
      <c r="AG10" s="11">
        <v>1.7408169999253</v>
      </c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1">
        <v>3</v>
      </c>
      <c r="AW10" s="11">
        <v>1</v>
      </c>
      <c r="AX10" s="13" t="s">
        <v>56</v>
      </c>
      <c r="AY10" s="13" t="s">
        <v>57</v>
      </c>
      <c r="AZ10" s="12"/>
      <c r="BA10" s="13" t="s">
        <v>58</v>
      </c>
      <c r="BB10" s="11">
        <v>121.577406020962</v>
      </c>
      <c r="BC10" s="13" t="s">
        <v>59</v>
      </c>
      <c r="BD10" s="12"/>
    </row>
    <row r="11" spans="1:56" ht="20" customHeight="1" x14ac:dyDescent="0.15">
      <c r="A11" s="9" t="s">
        <v>68</v>
      </c>
      <c r="B11" s="10">
        <v>9</v>
      </c>
      <c r="C11" s="11">
        <v>9</v>
      </c>
      <c r="D11" s="11">
        <v>0</v>
      </c>
      <c r="E11" s="11">
        <v>1.0071942446043201</v>
      </c>
      <c r="F11" s="11">
        <v>1.4232851660344801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1">
        <v>0</v>
      </c>
      <c r="S11" s="11">
        <v>9</v>
      </c>
      <c r="T11" s="11">
        <v>9</v>
      </c>
      <c r="U11" s="11">
        <v>0</v>
      </c>
      <c r="V11" s="12"/>
      <c r="W11" s="12"/>
      <c r="X11" s="12"/>
      <c r="Y11" s="12"/>
      <c r="Z11" s="11">
        <v>12.9814751250669</v>
      </c>
      <c r="AA11" s="12"/>
      <c r="AB11" s="11">
        <v>12.974230832886001</v>
      </c>
      <c r="AC11" s="11">
        <v>12.9814751250669</v>
      </c>
      <c r="AD11" s="11">
        <v>12.9814751250669</v>
      </c>
      <c r="AE11" s="11">
        <v>14.405550916912</v>
      </c>
      <c r="AF11" s="11">
        <v>1.0071942446043201</v>
      </c>
      <c r="AG11" s="11">
        <v>1.4232851660344801</v>
      </c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1">
        <v>3</v>
      </c>
      <c r="AW11" s="11">
        <v>1</v>
      </c>
      <c r="AX11" s="13" t="s">
        <v>56</v>
      </c>
      <c r="AY11" s="13" t="s">
        <v>57</v>
      </c>
      <c r="AZ11" s="12"/>
      <c r="BA11" s="13" t="s">
        <v>58</v>
      </c>
      <c r="BB11" s="11">
        <v>121.577406020962</v>
      </c>
      <c r="BC11" s="13" t="s">
        <v>59</v>
      </c>
      <c r="BD11" s="12"/>
    </row>
    <row r="12" spans="1:56" ht="20" customHeight="1" x14ac:dyDescent="0.15">
      <c r="A12" s="9" t="s">
        <v>69</v>
      </c>
      <c r="B12" s="10">
        <v>10</v>
      </c>
      <c r="C12" s="11">
        <v>10</v>
      </c>
      <c r="D12" s="11">
        <v>0</v>
      </c>
      <c r="E12" s="11">
        <v>1.63669064748201</v>
      </c>
      <c r="F12" s="11">
        <v>2.2071088750381</v>
      </c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1">
        <v>0</v>
      </c>
      <c r="S12" s="11">
        <v>10</v>
      </c>
      <c r="T12" s="11">
        <v>10</v>
      </c>
      <c r="U12" s="11">
        <v>6</v>
      </c>
      <c r="V12" s="12"/>
      <c r="W12" s="12"/>
      <c r="X12" s="12"/>
      <c r="Y12" s="12"/>
      <c r="Z12" s="11">
        <v>14.413743375102101</v>
      </c>
      <c r="AA12" s="12"/>
      <c r="AB12" s="11">
        <v>14.4072370829526</v>
      </c>
      <c r="AC12" s="11">
        <v>14.413743375102101</v>
      </c>
      <c r="AD12" s="11">
        <v>14.413743375102101</v>
      </c>
      <c r="AE12" s="11">
        <v>16.621909291949098</v>
      </c>
      <c r="AF12" s="11">
        <v>1.63669064748201</v>
      </c>
      <c r="AG12" s="11">
        <v>2.2071088750381</v>
      </c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1">
        <v>3</v>
      </c>
      <c r="AW12" s="11">
        <v>1</v>
      </c>
      <c r="AX12" s="13" t="s">
        <v>56</v>
      </c>
      <c r="AY12" s="13" t="s">
        <v>57</v>
      </c>
      <c r="AZ12" s="12"/>
      <c r="BA12" s="13" t="s">
        <v>58</v>
      </c>
      <c r="BB12" s="11">
        <v>121.577406020962</v>
      </c>
      <c r="BC12" s="13" t="s">
        <v>59</v>
      </c>
      <c r="BD12" s="12"/>
    </row>
    <row r="13" spans="1:56" ht="20" customHeight="1" x14ac:dyDescent="0.15">
      <c r="A13" s="9" t="s">
        <v>70</v>
      </c>
      <c r="B13" s="10">
        <v>11</v>
      </c>
      <c r="C13" s="11">
        <v>11</v>
      </c>
      <c r="D13" s="11">
        <v>0</v>
      </c>
      <c r="E13" s="11">
        <v>1.9640287769784199</v>
      </c>
      <c r="F13" s="11">
        <v>1.4739616669248801</v>
      </c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1">
        <v>0</v>
      </c>
      <c r="S13" s="11">
        <v>11</v>
      </c>
      <c r="T13" s="11">
        <v>11</v>
      </c>
      <c r="U13" s="11">
        <v>3</v>
      </c>
      <c r="V13" s="12"/>
      <c r="W13" s="12"/>
      <c r="X13" s="12"/>
      <c r="Y13" s="12"/>
      <c r="Z13" s="11">
        <v>16.631194333080199</v>
      </c>
      <c r="AA13" s="12"/>
      <c r="AB13" s="11">
        <v>16.6239605830051</v>
      </c>
      <c r="AC13" s="11">
        <v>16.631194333080199</v>
      </c>
      <c r="AD13" s="11">
        <v>16.631194333080199</v>
      </c>
      <c r="AE13" s="11">
        <v>18.105422582943</v>
      </c>
      <c r="AF13" s="11">
        <v>1.9640287769784199</v>
      </c>
      <c r="AG13" s="11">
        <v>1.4739616669248801</v>
      </c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1">
        <v>3</v>
      </c>
      <c r="AW13" s="11">
        <v>1</v>
      </c>
      <c r="AX13" s="13" t="s">
        <v>56</v>
      </c>
      <c r="AY13" s="13" t="s">
        <v>57</v>
      </c>
      <c r="AZ13" s="12"/>
      <c r="BA13" s="13" t="s">
        <v>58</v>
      </c>
      <c r="BB13" s="11">
        <v>121.577406020962</v>
      </c>
      <c r="BC13" s="13" t="s">
        <v>59</v>
      </c>
      <c r="BD13" s="12"/>
    </row>
    <row r="14" spans="1:56" ht="20" customHeight="1" x14ac:dyDescent="0.15">
      <c r="A14" s="9" t="s">
        <v>71</v>
      </c>
      <c r="B14" s="10">
        <v>12</v>
      </c>
      <c r="C14" s="11">
        <v>12</v>
      </c>
      <c r="D14" s="11">
        <v>0</v>
      </c>
      <c r="E14" s="11">
        <v>1.25539568345324</v>
      </c>
      <c r="F14" s="11">
        <v>1.68209866597317</v>
      </c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1">
        <v>0</v>
      </c>
      <c r="S14" s="11">
        <v>12</v>
      </c>
      <c r="T14" s="11">
        <v>12</v>
      </c>
      <c r="U14" s="11">
        <v>4</v>
      </c>
      <c r="V14" s="12"/>
      <c r="W14" s="12"/>
      <c r="X14" s="12"/>
      <c r="Y14" s="12"/>
      <c r="Z14" s="11">
        <v>18.114863791968698</v>
      </c>
      <c r="AA14" s="12"/>
      <c r="AB14" s="11">
        <v>18.108229374978698</v>
      </c>
      <c r="AC14" s="11">
        <v>18.114863791968698</v>
      </c>
      <c r="AD14" s="11">
        <v>18.114863791968698</v>
      </c>
      <c r="AE14" s="11">
        <v>19.7986294580624</v>
      </c>
      <c r="AF14" s="11">
        <v>1.25539568345324</v>
      </c>
      <c r="AG14" s="11">
        <v>1.68209866597317</v>
      </c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1">
        <v>3</v>
      </c>
      <c r="AW14" s="11">
        <v>1</v>
      </c>
      <c r="AX14" s="13" t="s">
        <v>56</v>
      </c>
      <c r="AY14" s="13" t="s">
        <v>57</v>
      </c>
      <c r="AZ14" s="12"/>
      <c r="BA14" s="13" t="s">
        <v>58</v>
      </c>
      <c r="BB14" s="11">
        <v>121.577406020962</v>
      </c>
      <c r="BC14" s="13" t="s">
        <v>59</v>
      </c>
      <c r="BD14" s="12"/>
    </row>
    <row r="15" spans="1:56" ht="20" customHeight="1" x14ac:dyDescent="0.15">
      <c r="A15" s="9" t="s">
        <v>72</v>
      </c>
      <c r="B15" s="10">
        <v>13</v>
      </c>
      <c r="C15" s="11">
        <v>13</v>
      </c>
      <c r="D15" s="11">
        <v>0</v>
      </c>
      <c r="E15" s="11">
        <v>1.0107913669064701</v>
      </c>
      <c r="F15" s="11">
        <v>1.36136566707864</v>
      </c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1">
        <v>0</v>
      </c>
      <c r="S15" s="11">
        <v>13</v>
      </c>
      <c r="T15" s="11">
        <v>13</v>
      </c>
      <c r="U15" s="11">
        <v>2</v>
      </c>
      <c r="V15" s="12"/>
      <c r="W15" s="12"/>
      <c r="X15" s="12"/>
      <c r="Y15" s="12"/>
      <c r="Z15" s="11">
        <v>19.813333667116201</v>
      </c>
      <c r="AA15" s="12"/>
      <c r="AB15" s="11">
        <v>19.801858624909102</v>
      </c>
      <c r="AC15" s="11">
        <v>19.813333667116201</v>
      </c>
      <c r="AD15" s="11">
        <v>19.813333667116201</v>
      </c>
      <c r="AE15" s="11">
        <v>21.1722503749188</v>
      </c>
      <c r="AF15" s="11">
        <v>1.0107913669064701</v>
      </c>
      <c r="AG15" s="11">
        <v>1.36136566707864</v>
      </c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1">
        <v>3</v>
      </c>
      <c r="AW15" s="11">
        <v>1</v>
      </c>
      <c r="AX15" s="13" t="s">
        <v>56</v>
      </c>
      <c r="AY15" s="13" t="s">
        <v>57</v>
      </c>
      <c r="AZ15" s="12"/>
      <c r="BA15" s="13" t="s">
        <v>58</v>
      </c>
      <c r="BB15" s="11">
        <v>121.577406020962</v>
      </c>
      <c r="BC15" s="13" t="s">
        <v>59</v>
      </c>
      <c r="BD15" s="12"/>
    </row>
    <row r="16" spans="1:56" ht="20" customHeight="1" x14ac:dyDescent="0.15">
      <c r="A16" s="9" t="s">
        <v>73</v>
      </c>
      <c r="B16" s="10">
        <v>14</v>
      </c>
      <c r="C16" s="11">
        <v>14</v>
      </c>
      <c r="D16" s="11">
        <v>0</v>
      </c>
      <c r="E16" s="11">
        <v>1</v>
      </c>
      <c r="F16" s="11">
        <v>1.1896914998069399</v>
      </c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1">
        <v>0</v>
      </c>
      <c r="S16" s="11">
        <v>14</v>
      </c>
      <c r="T16" s="11">
        <v>14</v>
      </c>
      <c r="U16" s="11">
        <v>5</v>
      </c>
      <c r="V16" s="12"/>
      <c r="W16" s="12"/>
      <c r="X16" s="12"/>
      <c r="Y16" s="12"/>
      <c r="Z16" s="11">
        <v>21.1814505830407</v>
      </c>
      <c r="AA16" s="12"/>
      <c r="AB16" s="11">
        <v>21.174816166982101</v>
      </c>
      <c r="AC16" s="11">
        <v>21.1814505830407</v>
      </c>
      <c r="AD16" s="11">
        <v>21.1814505830407</v>
      </c>
      <c r="AE16" s="11">
        <v>22.372076916973999</v>
      </c>
      <c r="AF16" s="11">
        <v>1</v>
      </c>
      <c r="AG16" s="11">
        <v>1.1896914998069399</v>
      </c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1">
        <v>3</v>
      </c>
      <c r="AW16" s="11">
        <v>1</v>
      </c>
      <c r="AX16" s="13" t="s">
        <v>56</v>
      </c>
      <c r="AY16" s="13" t="s">
        <v>57</v>
      </c>
      <c r="AZ16" s="12"/>
      <c r="BA16" s="13" t="s">
        <v>58</v>
      </c>
      <c r="BB16" s="11">
        <v>121.577406020962</v>
      </c>
      <c r="BC16" s="13" t="s">
        <v>59</v>
      </c>
      <c r="BD16" s="12"/>
    </row>
    <row r="17" spans="1:56" ht="20" customHeight="1" x14ac:dyDescent="0.15">
      <c r="A17" s="14"/>
      <c r="B17" s="10">
        <v>0</v>
      </c>
      <c r="C17" s="11">
        <v>0</v>
      </c>
      <c r="D17" s="11">
        <v>0</v>
      </c>
      <c r="E17" s="12"/>
      <c r="F17" s="12"/>
      <c r="G17" s="13" t="s">
        <v>74</v>
      </c>
      <c r="H17" s="13" t="s">
        <v>75</v>
      </c>
      <c r="I17" s="13" t="s">
        <v>76</v>
      </c>
      <c r="J17" s="13" t="s">
        <v>77</v>
      </c>
      <c r="K17" s="13" t="s">
        <v>78</v>
      </c>
      <c r="L17" s="13" t="s">
        <v>79</v>
      </c>
      <c r="M17" s="13" t="s">
        <v>80</v>
      </c>
      <c r="N17" s="13" t="s">
        <v>81</v>
      </c>
      <c r="O17" s="13" t="s">
        <v>81</v>
      </c>
      <c r="P17" s="13" t="s">
        <v>82</v>
      </c>
      <c r="Q17" s="13" t="s">
        <v>83</v>
      </c>
      <c r="R17" s="12"/>
      <c r="S17" s="12"/>
      <c r="T17" s="12"/>
      <c r="U17" s="12"/>
      <c r="V17" s="11">
        <v>0</v>
      </c>
      <c r="W17" s="11">
        <v>0</v>
      </c>
      <c r="X17" s="11">
        <v>0</v>
      </c>
      <c r="Y17" s="11">
        <v>19</v>
      </c>
      <c r="Z17" s="11">
        <v>22.389255332993301</v>
      </c>
      <c r="AA17" s="12"/>
      <c r="AB17" s="12"/>
      <c r="AC17" s="12"/>
      <c r="AD17" s="12"/>
      <c r="AE17" s="12"/>
      <c r="AF17" s="12"/>
      <c r="AG17" s="12"/>
      <c r="AH17" s="11">
        <v>22.380398333072701</v>
      </c>
      <c r="AI17" s="11">
        <v>22.389255332993301</v>
      </c>
      <c r="AJ17" s="11">
        <v>22.389255332993301</v>
      </c>
      <c r="AK17" s="11">
        <v>22.389255332993301</v>
      </c>
      <c r="AL17" s="11">
        <v>8.2991248928010498E-3</v>
      </c>
      <c r="AM17" s="11">
        <v>27.675254124915199</v>
      </c>
      <c r="AN17" s="13" t="s">
        <v>77</v>
      </c>
      <c r="AO17" s="13" t="s">
        <v>78</v>
      </c>
      <c r="AP17" s="13" t="s">
        <v>79</v>
      </c>
      <c r="AQ17" s="13" t="s">
        <v>80</v>
      </c>
      <c r="AR17" s="13" t="s">
        <v>81</v>
      </c>
      <c r="AS17" s="13" t="s">
        <v>81</v>
      </c>
      <c r="AT17" s="13" t="s">
        <v>82</v>
      </c>
      <c r="AU17" s="13" t="s">
        <v>83</v>
      </c>
      <c r="AV17" s="11">
        <v>3</v>
      </c>
      <c r="AW17" s="11">
        <v>1</v>
      </c>
      <c r="AX17" s="13" t="s">
        <v>56</v>
      </c>
      <c r="AY17" s="13" t="s">
        <v>57</v>
      </c>
      <c r="AZ17" s="12"/>
      <c r="BA17" s="13" t="s">
        <v>58</v>
      </c>
      <c r="BB17" s="11">
        <v>121.577406020962</v>
      </c>
      <c r="BC17" s="13" t="s">
        <v>59</v>
      </c>
      <c r="BD17" s="12"/>
    </row>
    <row r="18" spans="1:56" ht="20" customHeight="1" x14ac:dyDescent="0.15">
      <c r="A18" s="14"/>
      <c r="B18" s="10">
        <v>1</v>
      </c>
      <c r="C18" s="11">
        <v>1</v>
      </c>
      <c r="D18" s="11">
        <v>0</v>
      </c>
      <c r="E18" s="12"/>
      <c r="F18" s="12"/>
      <c r="G18" s="13" t="s">
        <v>84</v>
      </c>
      <c r="H18" s="13" t="s">
        <v>85</v>
      </c>
      <c r="I18" s="13" t="s">
        <v>76</v>
      </c>
      <c r="J18" s="13" t="s">
        <v>86</v>
      </c>
      <c r="K18" s="13" t="s">
        <v>87</v>
      </c>
      <c r="L18" s="13" t="s">
        <v>88</v>
      </c>
      <c r="M18" s="13" t="s">
        <v>80</v>
      </c>
      <c r="N18" s="13" t="s">
        <v>81</v>
      </c>
      <c r="O18" s="13" t="s">
        <v>81</v>
      </c>
      <c r="P18" s="13" t="s">
        <v>89</v>
      </c>
      <c r="Q18" s="13" t="s">
        <v>83</v>
      </c>
      <c r="R18" s="12"/>
      <c r="S18" s="12"/>
      <c r="T18" s="12"/>
      <c r="U18" s="12"/>
      <c r="V18" s="11">
        <v>0</v>
      </c>
      <c r="W18" s="11">
        <v>1</v>
      </c>
      <c r="X18" s="11">
        <v>1</v>
      </c>
      <c r="Y18" s="11">
        <v>17</v>
      </c>
      <c r="Z18" s="11">
        <v>27.687931082909898</v>
      </c>
      <c r="AA18" s="12"/>
      <c r="AB18" s="12"/>
      <c r="AC18" s="12"/>
      <c r="AD18" s="12"/>
      <c r="AE18" s="12"/>
      <c r="AF18" s="12"/>
      <c r="AG18" s="12"/>
      <c r="AH18" s="11">
        <v>27.6782652919646</v>
      </c>
      <c r="AI18" s="11">
        <v>27.687931082909898</v>
      </c>
      <c r="AJ18" s="11">
        <v>27.687931082909898</v>
      </c>
      <c r="AK18" s="11">
        <v>27.687931082909898</v>
      </c>
      <c r="AL18" s="11">
        <v>2.8797499835491202E-3</v>
      </c>
      <c r="AM18" s="11">
        <v>30.265459500020398</v>
      </c>
      <c r="AN18" s="13" t="s">
        <v>86</v>
      </c>
      <c r="AO18" s="13" t="s">
        <v>87</v>
      </c>
      <c r="AP18" s="13" t="s">
        <v>88</v>
      </c>
      <c r="AQ18" s="13" t="s">
        <v>80</v>
      </c>
      <c r="AR18" s="13" t="s">
        <v>81</v>
      </c>
      <c r="AS18" s="13" t="s">
        <v>81</v>
      </c>
      <c r="AT18" s="13" t="s">
        <v>89</v>
      </c>
      <c r="AU18" s="13" t="s">
        <v>83</v>
      </c>
      <c r="AV18" s="11">
        <v>3</v>
      </c>
      <c r="AW18" s="11">
        <v>1</v>
      </c>
      <c r="AX18" s="13" t="s">
        <v>56</v>
      </c>
      <c r="AY18" s="13" t="s">
        <v>57</v>
      </c>
      <c r="AZ18" s="12"/>
      <c r="BA18" s="13" t="s">
        <v>58</v>
      </c>
      <c r="BB18" s="11">
        <v>121.577406020962</v>
      </c>
      <c r="BC18" s="13" t="s">
        <v>59</v>
      </c>
      <c r="BD18" s="12"/>
    </row>
    <row r="19" spans="1:56" ht="20" customHeight="1" x14ac:dyDescent="0.15">
      <c r="A19" s="14"/>
      <c r="B19" s="10">
        <v>2</v>
      </c>
      <c r="C19" s="11">
        <v>2</v>
      </c>
      <c r="D19" s="11">
        <v>0</v>
      </c>
      <c r="E19" s="12"/>
      <c r="F19" s="12"/>
      <c r="G19" s="13" t="s">
        <v>90</v>
      </c>
      <c r="H19" s="13" t="s">
        <v>63</v>
      </c>
      <c r="I19" s="13" t="s">
        <v>91</v>
      </c>
      <c r="J19" s="13" t="s">
        <v>92</v>
      </c>
      <c r="K19" s="13" t="s">
        <v>93</v>
      </c>
      <c r="L19" s="13" t="s">
        <v>94</v>
      </c>
      <c r="M19" s="13" t="s">
        <v>80</v>
      </c>
      <c r="N19" s="13" t="s">
        <v>81</v>
      </c>
      <c r="O19" s="13" t="s">
        <v>81</v>
      </c>
      <c r="P19" s="13" t="s">
        <v>95</v>
      </c>
      <c r="Q19" s="13" t="s">
        <v>83</v>
      </c>
      <c r="R19" s="12"/>
      <c r="S19" s="12"/>
      <c r="T19" s="12"/>
      <c r="U19" s="12"/>
      <c r="V19" s="11">
        <v>0</v>
      </c>
      <c r="W19" s="11">
        <v>2</v>
      </c>
      <c r="X19" s="11">
        <v>2</v>
      </c>
      <c r="Y19" s="11">
        <v>4</v>
      </c>
      <c r="Z19" s="11">
        <v>30.279475207906199</v>
      </c>
      <c r="AA19" s="12"/>
      <c r="AB19" s="12"/>
      <c r="AC19" s="12"/>
      <c r="AD19" s="12"/>
      <c r="AE19" s="12"/>
      <c r="AF19" s="12"/>
      <c r="AG19" s="12"/>
      <c r="AH19" s="11">
        <v>30.2679220000282</v>
      </c>
      <c r="AI19" s="11">
        <v>30.279475207906199</v>
      </c>
      <c r="AJ19" s="11">
        <v>30.279475207906199</v>
      </c>
      <c r="AK19" s="11">
        <v>30.279475207906199</v>
      </c>
      <c r="AL19" s="11">
        <v>2.35154200345278E-3</v>
      </c>
      <c r="AM19" s="11">
        <v>34.964276375016198</v>
      </c>
      <c r="AN19" s="13" t="s">
        <v>92</v>
      </c>
      <c r="AO19" s="13" t="s">
        <v>93</v>
      </c>
      <c r="AP19" s="13" t="s">
        <v>94</v>
      </c>
      <c r="AQ19" s="13" t="s">
        <v>80</v>
      </c>
      <c r="AR19" s="13" t="s">
        <v>81</v>
      </c>
      <c r="AS19" s="13" t="s">
        <v>81</v>
      </c>
      <c r="AT19" s="13" t="s">
        <v>95</v>
      </c>
      <c r="AU19" s="13" t="s">
        <v>83</v>
      </c>
      <c r="AV19" s="11">
        <v>3</v>
      </c>
      <c r="AW19" s="11">
        <v>1</v>
      </c>
      <c r="AX19" s="13" t="s">
        <v>56</v>
      </c>
      <c r="AY19" s="13" t="s">
        <v>57</v>
      </c>
      <c r="AZ19" s="12"/>
      <c r="BA19" s="13" t="s">
        <v>58</v>
      </c>
      <c r="BB19" s="11">
        <v>121.577406020962</v>
      </c>
      <c r="BC19" s="13" t="s">
        <v>59</v>
      </c>
      <c r="BD19" s="12"/>
    </row>
    <row r="20" spans="1:56" ht="20" customHeight="1" x14ac:dyDescent="0.15">
      <c r="A20" s="14"/>
      <c r="B20" s="10">
        <v>3</v>
      </c>
      <c r="C20" s="11">
        <v>3</v>
      </c>
      <c r="D20" s="11">
        <v>0</v>
      </c>
      <c r="E20" s="12"/>
      <c r="F20" s="12"/>
      <c r="G20" s="13" t="s">
        <v>96</v>
      </c>
      <c r="H20" s="13" t="s">
        <v>67</v>
      </c>
      <c r="I20" s="13" t="s">
        <v>91</v>
      </c>
      <c r="J20" s="13" t="s">
        <v>67</v>
      </c>
      <c r="K20" s="13" t="s">
        <v>87</v>
      </c>
      <c r="L20" s="13" t="s">
        <v>97</v>
      </c>
      <c r="M20" s="13" t="s">
        <v>80</v>
      </c>
      <c r="N20" s="13" t="s">
        <v>81</v>
      </c>
      <c r="O20" s="13" t="s">
        <v>81</v>
      </c>
      <c r="P20" s="13" t="s">
        <v>98</v>
      </c>
      <c r="Q20" s="13" t="s">
        <v>83</v>
      </c>
      <c r="R20" s="12"/>
      <c r="S20" s="12"/>
      <c r="T20" s="12"/>
      <c r="U20" s="12"/>
      <c r="V20" s="11">
        <v>0</v>
      </c>
      <c r="W20" s="11">
        <v>3</v>
      </c>
      <c r="X20" s="11">
        <v>3</v>
      </c>
      <c r="Y20" s="11">
        <v>3</v>
      </c>
      <c r="Z20" s="11">
        <v>34.978691375115901</v>
      </c>
      <c r="AA20" s="12"/>
      <c r="AB20" s="12"/>
      <c r="AC20" s="12"/>
      <c r="AD20" s="12"/>
      <c r="AE20" s="12"/>
      <c r="AF20" s="12"/>
      <c r="AG20" s="12"/>
      <c r="AH20" s="11">
        <v>34.966493583051502</v>
      </c>
      <c r="AI20" s="11">
        <v>34.978691375115901</v>
      </c>
      <c r="AJ20" s="11">
        <v>34.978691375115901</v>
      </c>
      <c r="AK20" s="11">
        <v>34.978691375115901</v>
      </c>
      <c r="AL20" s="11">
        <v>2.1186668891459699E-3</v>
      </c>
      <c r="AM20" s="11">
        <v>37.564101666910602</v>
      </c>
      <c r="AN20" s="13" t="s">
        <v>67</v>
      </c>
      <c r="AO20" s="13" t="s">
        <v>87</v>
      </c>
      <c r="AP20" s="13" t="s">
        <v>97</v>
      </c>
      <c r="AQ20" s="13" t="s">
        <v>80</v>
      </c>
      <c r="AR20" s="13" t="s">
        <v>81</v>
      </c>
      <c r="AS20" s="13" t="s">
        <v>81</v>
      </c>
      <c r="AT20" s="13" t="s">
        <v>98</v>
      </c>
      <c r="AU20" s="13" t="s">
        <v>83</v>
      </c>
      <c r="AV20" s="11">
        <v>3</v>
      </c>
      <c r="AW20" s="11">
        <v>1</v>
      </c>
      <c r="AX20" s="13" t="s">
        <v>56</v>
      </c>
      <c r="AY20" s="13" t="s">
        <v>57</v>
      </c>
      <c r="AZ20" s="12"/>
      <c r="BA20" s="13" t="s">
        <v>58</v>
      </c>
      <c r="BB20" s="11">
        <v>121.577406020962</v>
      </c>
      <c r="BC20" s="13" t="s">
        <v>59</v>
      </c>
      <c r="BD20" s="12"/>
    </row>
    <row r="21" spans="1:56" ht="20" customHeight="1" x14ac:dyDescent="0.15">
      <c r="A21" s="14"/>
      <c r="B21" s="10">
        <v>4</v>
      </c>
      <c r="C21" s="11">
        <v>4</v>
      </c>
      <c r="D21" s="11">
        <v>0</v>
      </c>
      <c r="E21" s="12"/>
      <c r="F21" s="12"/>
      <c r="G21" s="13" t="s">
        <v>99</v>
      </c>
      <c r="H21" s="13" t="s">
        <v>55</v>
      </c>
      <c r="I21" s="13" t="s">
        <v>91</v>
      </c>
      <c r="J21" s="13" t="s">
        <v>100</v>
      </c>
      <c r="K21" s="13" t="s">
        <v>101</v>
      </c>
      <c r="L21" s="13" t="s">
        <v>102</v>
      </c>
      <c r="M21" s="13" t="s">
        <v>103</v>
      </c>
      <c r="N21" s="13" t="s">
        <v>104</v>
      </c>
      <c r="O21" s="13" t="s">
        <v>104</v>
      </c>
      <c r="P21" s="13" t="s">
        <v>105</v>
      </c>
      <c r="Q21" s="13" t="s">
        <v>106</v>
      </c>
      <c r="R21" s="12"/>
      <c r="S21" s="12"/>
      <c r="T21" s="12"/>
      <c r="U21" s="12"/>
      <c r="V21" s="11">
        <v>0</v>
      </c>
      <c r="W21" s="11">
        <v>4</v>
      </c>
      <c r="X21" s="11">
        <v>4</v>
      </c>
      <c r="Y21" s="11">
        <v>8</v>
      </c>
      <c r="Z21" s="11">
        <v>37.578440249897497</v>
      </c>
      <c r="AA21" s="12"/>
      <c r="AB21" s="12"/>
      <c r="AC21" s="12"/>
      <c r="AD21" s="12"/>
      <c r="AE21" s="12"/>
      <c r="AF21" s="12"/>
      <c r="AG21" s="12"/>
      <c r="AH21" s="11">
        <v>37.565866957884303</v>
      </c>
      <c r="AI21" s="11">
        <v>37.578440249897497</v>
      </c>
      <c r="AJ21" s="11">
        <v>37.578440249897497</v>
      </c>
      <c r="AK21" s="11">
        <v>37.578440249897497</v>
      </c>
      <c r="AL21" s="11">
        <v>1.6698751132935301E-3</v>
      </c>
      <c r="AM21" s="11">
        <v>41.331228707916999</v>
      </c>
      <c r="AN21" s="13" t="s">
        <v>100</v>
      </c>
      <c r="AO21" s="13" t="s">
        <v>101</v>
      </c>
      <c r="AP21" s="13" t="s">
        <v>102</v>
      </c>
      <c r="AQ21" s="13" t="s">
        <v>103</v>
      </c>
      <c r="AR21" s="13" t="s">
        <v>104</v>
      </c>
      <c r="AS21" s="13" t="s">
        <v>104</v>
      </c>
      <c r="AT21" s="13" t="s">
        <v>105</v>
      </c>
      <c r="AU21" s="13" t="s">
        <v>106</v>
      </c>
      <c r="AV21" s="11">
        <v>3</v>
      </c>
      <c r="AW21" s="11">
        <v>1</v>
      </c>
      <c r="AX21" s="13" t="s">
        <v>56</v>
      </c>
      <c r="AY21" s="13" t="s">
        <v>57</v>
      </c>
      <c r="AZ21" s="12"/>
      <c r="BA21" s="13" t="s">
        <v>58</v>
      </c>
      <c r="BB21" s="11">
        <v>121.577406020962</v>
      </c>
      <c r="BC21" s="13" t="s">
        <v>59</v>
      </c>
      <c r="BD21" s="12"/>
    </row>
    <row r="22" spans="1:56" ht="20" customHeight="1" x14ac:dyDescent="0.15">
      <c r="A22" s="14"/>
      <c r="B22" s="10">
        <v>5</v>
      </c>
      <c r="C22" s="11">
        <v>5</v>
      </c>
      <c r="D22" s="11">
        <v>0</v>
      </c>
      <c r="E22" s="12"/>
      <c r="F22" s="12"/>
      <c r="G22" s="13" t="s">
        <v>107</v>
      </c>
      <c r="H22" s="13" t="s">
        <v>108</v>
      </c>
      <c r="I22" s="13" t="s">
        <v>76</v>
      </c>
      <c r="J22" s="13" t="s">
        <v>109</v>
      </c>
      <c r="K22" s="13" t="s">
        <v>110</v>
      </c>
      <c r="L22" s="13" t="s">
        <v>111</v>
      </c>
      <c r="M22" s="13" t="s">
        <v>80</v>
      </c>
      <c r="N22" s="13" t="s">
        <v>81</v>
      </c>
      <c r="O22" s="13" t="s">
        <v>81</v>
      </c>
      <c r="P22" s="13" t="s">
        <v>112</v>
      </c>
      <c r="Q22" s="13" t="s">
        <v>83</v>
      </c>
      <c r="R22" s="12"/>
      <c r="S22" s="12"/>
      <c r="T22" s="12"/>
      <c r="U22" s="12"/>
      <c r="V22" s="11">
        <v>0</v>
      </c>
      <c r="W22" s="11">
        <v>5</v>
      </c>
      <c r="X22" s="11">
        <v>5</v>
      </c>
      <c r="Y22" s="11">
        <v>16</v>
      </c>
      <c r="Z22" s="11">
        <v>41.345812042010998</v>
      </c>
      <c r="AA22" s="12"/>
      <c r="AB22" s="12"/>
      <c r="AC22" s="12"/>
      <c r="AD22" s="12"/>
      <c r="AE22" s="12"/>
      <c r="AF22" s="12"/>
      <c r="AG22" s="12"/>
      <c r="AH22" s="11">
        <v>41.333627291955104</v>
      </c>
      <c r="AI22" s="11">
        <v>41.345812042010998</v>
      </c>
      <c r="AJ22" s="11">
        <v>41.345812042010998</v>
      </c>
      <c r="AK22" s="11">
        <v>41.345812042010998</v>
      </c>
      <c r="AL22" s="11">
        <v>2.2647078149020698E-3</v>
      </c>
      <c r="AM22" s="11">
        <v>43.779319708002703</v>
      </c>
      <c r="AN22" s="13" t="s">
        <v>109</v>
      </c>
      <c r="AO22" s="13" t="s">
        <v>110</v>
      </c>
      <c r="AP22" s="13" t="s">
        <v>111</v>
      </c>
      <c r="AQ22" s="13" t="s">
        <v>80</v>
      </c>
      <c r="AR22" s="13" t="s">
        <v>81</v>
      </c>
      <c r="AS22" s="13" t="s">
        <v>81</v>
      </c>
      <c r="AT22" s="13" t="s">
        <v>112</v>
      </c>
      <c r="AU22" s="13" t="s">
        <v>83</v>
      </c>
      <c r="AV22" s="11">
        <v>3</v>
      </c>
      <c r="AW22" s="11">
        <v>1</v>
      </c>
      <c r="AX22" s="13" t="s">
        <v>56</v>
      </c>
      <c r="AY22" s="13" t="s">
        <v>57</v>
      </c>
      <c r="AZ22" s="12"/>
      <c r="BA22" s="13" t="s">
        <v>58</v>
      </c>
      <c r="BB22" s="11">
        <v>121.577406020962</v>
      </c>
      <c r="BC22" s="13" t="s">
        <v>59</v>
      </c>
      <c r="BD22" s="12"/>
    </row>
    <row r="23" spans="1:56" ht="20" customHeight="1" x14ac:dyDescent="0.15">
      <c r="A23" s="14"/>
      <c r="B23" s="10">
        <v>6</v>
      </c>
      <c r="C23" s="11">
        <v>6</v>
      </c>
      <c r="D23" s="11">
        <v>0</v>
      </c>
      <c r="E23" s="12"/>
      <c r="F23" s="12"/>
      <c r="G23" s="13" t="s">
        <v>113</v>
      </c>
      <c r="H23" s="13" t="s">
        <v>61</v>
      </c>
      <c r="I23" s="13" t="s">
        <v>91</v>
      </c>
      <c r="J23" s="13" t="s">
        <v>114</v>
      </c>
      <c r="K23" s="13" t="s">
        <v>115</v>
      </c>
      <c r="L23" s="13" t="s">
        <v>116</v>
      </c>
      <c r="M23" s="13" t="s">
        <v>80</v>
      </c>
      <c r="N23" s="13" t="s">
        <v>81</v>
      </c>
      <c r="O23" s="13" t="s">
        <v>81</v>
      </c>
      <c r="P23" s="13" t="s">
        <v>117</v>
      </c>
      <c r="Q23" s="13" t="s">
        <v>83</v>
      </c>
      <c r="R23" s="12"/>
      <c r="S23" s="12"/>
      <c r="T23" s="12"/>
      <c r="U23" s="12"/>
      <c r="V23" s="11">
        <v>0</v>
      </c>
      <c r="W23" s="11">
        <v>6</v>
      </c>
      <c r="X23" s="11">
        <v>6</v>
      </c>
      <c r="Y23" s="11">
        <v>7</v>
      </c>
      <c r="Z23" s="11">
        <v>43.792459042044399</v>
      </c>
      <c r="AA23" s="12"/>
      <c r="AB23" s="12"/>
      <c r="AC23" s="12"/>
      <c r="AD23" s="12"/>
      <c r="AE23" s="12"/>
      <c r="AF23" s="12"/>
      <c r="AG23" s="12"/>
      <c r="AH23" s="11">
        <v>43.781320082955098</v>
      </c>
      <c r="AI23" s="11">
        <v>43.792459042044399</v>
      </c>
      <c r="AJ23" s="11">
        <v>43.792459042044399</v>
      </c>
      <c r="AK23" s="11">
        <v>43.792459042044399</v>
      </c>
      <c r="AL23" s="11">
        <v>1.9037500023841899E-3</v>
      </c>
      <c r="AM23" s="11">
        <v>46.579915416892597</v>
      </c>
      <c r="AN23" s="13" t="s">
        <v>114</v>
      </c>
      <c r="AO23" s="13" t="s">
        <v>115</v>
      </c>
      <c r="AP23" s="13" t="s">
        <v>116</v>
      </c>
      <c r="AQ23" s="13" t="s">
        <v>80</v>
      </c>
      <c r="AR23" s="13" t="s">
        <v>81</v>
      </c>
      <c r="AS23" s="13" t="s">
        <v>81</v>
      </c>
      <c r="AT23" s="13" t="s">
        <v>117</v>
      </c>
      <c r="AU23" s="13" t="s">
        <v>83</v>
      </c>
      <c r="AV23" s="11">
        <v>3</v>
      </c>
      <c r="AW23" s="11">
        <v>1</v>
      </c>
      <c r="AX23" s="13" t="s">
        <v>56</v>
      </c>
      <c r="AY23" s="13" t="s">
        <v>57</v>
      </c>
      <c r="AZ23" s="12"/>
      <c r="BA23" s="13" t="s">
        <v>58</v>
      </c>
      <c r="BB23" s="11">
        <v>121.577406020962</v>
      </c>
      <c r="BC23" s="13" t="s">
        <v>59</v>
      </c>
      <c r="BD23" s="12"/>
    </row>
    <row r="24" spans="1:56" ht="20" customHeight="1" x14ac:dyDescent="0.15">
      <c r="A24" s="14"/>
      <c r="B24" s="10">
        <v>7</v>
      </c>
      <c r="C24" s="11">
        <v>7</v>
      </c>
      <c r="D24" s="11">
        <v>0</v>
      </c>
      <c r="E24" s="12"/>
      <c r="F24" s="12"/>
      <c r="G24" s="13" t="s">
        <v>118</v>
      </c>
      <c r="H24" s="13" t="s">
        <v>69</v>
      </c>
      <c r="I24" s="13" t="s">
        <v>91</v>
      </c>
      <c r="J24" s="13" t="s">
        <v>119</v>
      </c>
      <c r="K24" s="13" t="s">
        <v>120</v>
      </c>
      <c r="L24" s="13" t="s">
        <v>120</v>
      </c>
      <c r="M24" s="13" t="s">
        <v>120</v>
      </c>
      <c r="N24" s="13" t="s">
        <v>120</v>
      </c>
      <c r="O24" s="13" t="s">
        <v>120</v>
      </c>
      <c r="P24" s="13" t="s">
        <v>120</v>
      </c>
      <c r="Q24" s="13" t="s">
        <v>120</v>
      </c>
      <c r="R24" s="12"/>
      <c r="S24" s="12"/>
      <c r="T24" s="12"/>
      <c r="U24" s="12"/>
      <c r="V24" s="11">
        <v>0</v>
      </c>
      <c r="W24" s="11">
        <v>7</v>
      </c>
      <c r="X24" s="11">
        <v>7</v>
      </c>
      <c r="Y24" s="11">
        <v>1</v>
      </c>
      <c r="Z24" s="11">
        <v>46.593884957954302</v>
      </c>
      <c r="AA24" s="12"/>
      <c r="AB24" s="12"/>
      <c r="AC24" s="12"/>
      <c r="AD24" s="12"/>
      <c r="AE24" s="12"/>
      <c r="AF24" s="12"/>
      <c r="AG24" s="12"/>
      <c r="AH24" s="11">
        <v>46.5816494999453</v>
      </c>
      <c r="AI24" s="11">
        <v>46.593884957954302</v>
      </c>
      <c r="AJ24" s="11">
        <v>46.593884957954302</v>
      </c>
      <c r="AK24" s="11">
        <v>46.593884957954302</v>
      </c>
      <c r="AL24" s="11">
        <v>1.6546670813113501E-3</v>
      </c>
      <c r="AM24" s="11">
        <v>56.580350042088</v>
      </c>
      <c r="AN24" s="13" t="s">
        <v>119</v>
      </c>
      <c r="AO24" s="13" t="s">
        <v>120</v>
      </c>
      <c r="AP24" s="13" t="s">
        <v>120</v>
      </c>
      <c r="AQ24" s="13" t="s">
        <v>120</v>
      </c>
      <c r="AR24" s="13" t="s">
        <v>120</v>
      </c>
      <c r="AS24" s="13" t="s">
        <v>120</v>
      </c>
      <c r="AT24" s="13" t="s">
        <v>120</v>
      </c>
      <c r="AU24" s="13" t="s">
        <v>120</v>
      </c>
      <c r="AV24" s="11">
        <v>3</v>
      </c>
      <c r="AW24" s="11">
        <v>1</v>
      </c>
      <c r="AX24" s="13" t="s">
        <v>56</v>
      </c>
      <c r="AY24" s="13" t="s">
        <v>57</v>
      </c>
      <c r="AZ24" s="12"/>
      <c r="BA24" s="13" t="s">
        <v>58</v>
      </c>
      <c r="BB24" s="11">
        <v>121.577406020962</v>
      </c>
      <c r="BC24" s="13" t="s">
        <v>59</v>
      </c>
      <c r="BD24" s="12"/>
    </row>
    <row r="25" spans="1:56" ht="20" customHeight="1" x14ac:dyDescent="0.15">
      <c r="A25" s="14"/>
      <c r="B25" s="10">
        <v>8</v>
      </c>
      <c r="C25" s="11">
        <v>8</v>
      </c>
      <c r="D25" s="11">
        <v>0</v>
      </c>
      <c r="E25" s="12"/>
      <c r="F25" s="12"/>
      <c r="G25" s="13" t="s">
        <v>121</v>
      </c>
      <c r="H25" s="13" t="s">
        <v>122</v>
      </c>
      <c r="I25" s="13" t="s">
        <v>76</v>
      </c>
      <c r="J25" s="12"/>
      <c r="K25" s="13" t="s">
        <v>115</v>
      </c>
      <c r="L25" s="13" t="s">
        <v>116</v>
      </c>
      <c r="M25" s="13" t="s">
        <v>80</v>
      </c>
      <c r="N25" s="13" t="s">
        <v>81</v>
      </c>
      <c r="O25" s="13" t="s">
        <v>81</v>
      </c>
      <c r="P25" s="13" t="s">
        <v>123</v>
      </c>
      <c r="Q25" s="13" t="s">
        <v>83</v>
      </c>
      <c r="R25" s="12"/>
      <c r="S25" s="12"/>
      <c r="T25" s="12"/>
      <c r="U25" s="12"/>
      <c r="V25" s="11">
        <v>0</v>
      </c>
      <c r="W25" s="11">
        <v>8</v>
      </c>
      <c r="X25" s="11">
        <v>8</v>
      </c>
      <c r="Y25" s="11">
        <v>15</v>
      </c>
      <c r="Z25" s="11">
        <v>56.595456332899602</v>
      </c>
      <c r="AA25" s="12"/>
      <c r="AB25" s="12"/>
      <c r="AC25" s="12"/>
      <c r="AD25" s="12"/>
      <c r="AE25" s="12"/>
      <c r="AF25" s="12"/>
      <c r="AG25" s="12"/>
      <c r="AH25" s="11">
        <v>56.582663082983302</v>
      </c>
      <c r="AI25" s="11">
        <v>56.595456332899602</v>
      </c>
      <c r="AJ25" s="11">
        <v>56.595456332899602</v>
      </c>
      <c r="AK25" s="11">
        <v>56.595456332899602</v>
      </c>
      <c r="AL25" s="11">
        <v>2.6716671418398601E-3</v>
      </c>
      <c r="AM25" s="11">
        <v>56.797092166962102</v>
      </c>
      <c r="AN25" s="12"/>
      <c r="AO25" s="13" t="s">
        <v>115</v>
      </c>
      <c r="AP25" s="13" t="s">
        <v>116</v>
      </c>
      <c r="AQ25" s="13" t="s">
        <v>80</v>
      </c>
      <c r="AR25" s="13" t="s">
        <v>81</v>
      </c>
      <c r="AS25" s="13" t="s">
        <v>81</v>
      </c>
      <c r="AT25" s="13" t="s">
        <v>123</v>
      </c>
      <c r="AU25" s="13" t="s">
        <v>83</v>
      </c>
      <c r="AV25" s="11">
        <v>3</v>
      </c>
      <c r="AW25" s="11">
        <v>1</v>
      </c>
      <c r="AX25" s="13" t="s">
        <v>56</v>
      </c>
      <c r="AY25" s="13" t="s">
        <v>57</v>
      </c>
      <c r="AZ25" s="12"/>
      <c r="BA25" s="13" t="s">
        <v>58</v>
      </c>
      <c r="BB25" s="11">
        <v>121.577406020962</v>
      </c>
      <c r="BC25" s="13" t="s">
        <v>59</v>
      </c>
      <c r="BD25" s="12"/>
    </row>
    <row r="26" spans="1:56" ht="20" customHeight="1" x14ac:dyDescent="0.15">
      <c r="A26" s="14"/>
      <c r="B26" s="10">
        <v>9</v>
      </c>
      <c r="C26" s="11">
        <v>9</v>
      </c>
      <c r="D26" s="11">
        <v>0</v>
      </c>
      <c r="E26" s="12"/>
      <c r="F26" s="12"/>
      <c r="G26" s="13" t="s">
        <v>124</v>
      </c>
      <c r="H26" s="13" t="s">
        <v>125</v>
      </c>
      <c r="I26" s="13" t="s">
        <v>91</v>
      </c>
      <c r="J26" s="13" t="s">
        <v>126</v>
      </c>
      <c r="K26" s="13" t="s">
        <v>115</v>
      </c>
      <c r="L26" s="13" t="s">
        <v>116</v>
      </c>
      <c r="M26" s="13" t="s">
        <v>80</v>
      </c>
      <c r="N26" s="13" t="s">
        <v>81</v>
      </c>
      <c r="O26" s="13" t="s">
        <v>81</v>
      </c>
      <c r="P26" s="13" t="s">
        <v>127</v>
      </c>
      <c r="Q26" s="13" t="s">
        <v>83</v>
      </c>
      <c r="R26" s="12"/>
      <c r="S26" s="12"/>
      <c r="T26" s="12"/>
      <c r="U26" s="12"/>
      <c r="V26" s="11">
        <v>0</v>
      </c>
      <c r="W26" s="11">
        <v>9</v>
      </c>
      <c r="X26" s="11">
        <v>9</v>
      </c>
      <c r="Y26" s="11">
        <v>11</v>
      </c>
      <c r="Z26" s="11">
        <v>56.811348666902603</v>
      </c>
      <c r="AA26" s="12"/>
      <c r="AB26" s="12"/>
      <c r="AC26" s="12"/>
      <c r="AD26" s="12"/>
      <c r="AE26" s="12"/>
      <c r="AF26" s="12"/>
      <c r="AG26" s="12"/>
      <c r="AH26" s="11">
        <v>56.798749916954002</v>
      </c>
      <c r="AI26" s="11">
        <v>56.811348666902603</v>
      </c>
      <c r="AJ26" s="11">
        <v>56.811348666902603</v>
      </c>
      <c r="AK26" s="11">
        <v>56.811348666902603</v>
      </c>
      <c r="AL26" s="11">
        <v>1.5643329825252301E-3</v>
      </c>
      <c r="AM26" s="11">
        <v>59.2797640000936</v>
      </c>
      <c r="AN26" s="13" t="s">
        <v>126</v>
      </c>
      <c r="AO26" s="13" t="s">
        <v>115</v>
      </c>
      <c r="AP26" s="13" t="s">
        <v>116</v>
      </c>
      <c r="AQ26" s="13" t="s">
        <v>80</v>
      </c>
      <c r="AR26" s="13" t="s">
        <v>81</v>
      </c>
      <c r="AS26" s="13" t="s">
        <v>81</v>
      </c>
      <c r="AT26" s="13" t="s">
        <v>127</v>
      </c>
      <c r="AU26" s="13" t="s">
        <v>83</v>
      </c>
      <c r="AV26" s="11">
        <v>3</v>
      </c>
      <c r="AW26" s="11">
        <v>1</v>
      </c>
      <c r="AX26" s="13" t="s">
        <v>56</v>
      </c>
      <c r="AY26" s="13" t="s">
        <v>57</v>
      </c>
      <c r="AZ26" s="12"/>
      <c r="BA26" s="13" t="s">
        <v>58</v>
      </c>
      <c r="BB26" s="11">
        <v>121.577406020962</v>
      </c>
      <c r="BC26" s="13" t="s">
        <v>59</v>
      </c>
      <c r="BD26" s="12"/>
    </row>
    <row r="27" spans="1:56" ht="20" customHeight="1" x14ac:dyDescent="0.15">
      <c r="A27" s="14"/>
      <c r="B27" s="10">
        <v>10</v>
      </c>
      <c r="C27" s="11">
        <v>10</v>
      </c>
      <c r="D27" s="11">
        <v>0</v>
      </c>
      <c r="E27" s="12"/>
      <c r="F27" s="12"/>
      <c r="G27" s="13" t="s">
        <v>128</v>
      </c>
      <c r="H27" s="13" t="s">
        <v>62</v>
      </c>
      <c r="I27" s="13" t="s">
        <v>91</v>
      </c>
      <c r="J27" s="13" t="s">
        <v>129</v>
      </c>
      <c r="K27" s="13" t="s">
        <v>115</v>
      </c>
      <c r="L27" s="13" t="s">
        <v>116</v>
      </c>
      <c r="M27" s="13" t="s">
        <v>80</v>
      </c>
      <c r="N27" s="13" t="s">
        <v>81</v>
      </c>
      <c r="O27" s="13" t="s">
        <v>81</v>
      </c>
      <c r="P27" s="13" t="s">
        <v>130</v>
      </c>
      <c r="Q27" s="13" t="s">
        <v>83</v>
      </c>
      <c r="R27" s="12"/>
      <c r="S27" s="12"/>
      <c r="T27" s="12"/>
      <c r="U27" s="12"/>
      <c r="V27" s="11">
        <v>0</v>
      </c>
      <c r="W27" s="11">
        <v>10</v>
      </c>
      <c r="X27" s="11">
        <v>10</v>
      </c>
      <c r="Y27" s="11">
        <v>2</v>
      </c>
      <c r="Z27" s="11">
        <v>59.294064082903802</v>
      </c>
      <c r="AA27" s="12"/>
      <c r="AB27" s="12"/>
      <c r="AC27" s="12"/>
      <c r="AD27" s="12"/>
      <c r="AE27" s="12"/>
      <c r="AF27" s="12"/>
      <c r="AG27" s="12"/>
      <c r="AH27" s="11">
        <v>59.282222083071296</v>
      </c>
      <c r="AI27" s="11">
        <v>59.294064082903802</v>
      </c>
      <c r="AJ27" s="11">
        <v>59.294064082903802</v>
      </c>
      <c r="AK27" s="11">
        <v>59.294064082903802</v>
      </c>
      <c r="AL27" s="11">
        <v>2.3377500474452998E-3</v>
      </c>
      <c r="AM27" s="11">
        <v>61.514478666940697</v>
      </c>
      <c r="AN27" s="13" t="s">
        <v>129</v>
      </c>
      <c r="AO27" s="13" t="s">
        <v>115</v>
      </c>
      <c r="AP27" s="13" t="s">
        <v>116</v>
      </c>
      <c r="AQ27" s="13" t="s">
        <v>80</v>
      </c>
      <c r="AR27" s="13" t="s">
        <v>81</v>
      </c>
      <c r="AS27" s="13" t="s">
        <v>81</v>
      </c>
      <c r="AT27" s="13" t="s">
        <v>130</v>
      </c>
      <c r="AU27" s="13" t="s">
        <v>83</v>
      </c>
      <c r="AV27" s="11">
        <v>3</v>
      </c>
      <c r="AW27" s="11">
        <v>1</v>
      </c>
      <c r="AX27" s="13" t="s">
        <v>56</v>
      </c>
      <c r="AY27" s="13" t="s">
        <v>57</v>
      </c>
      <c r="AZ27" s="12"/>
      <c r="BA27" s="13" t="s">
        <v>58</v>
      </c>
      <c r="BB27" s="11">
        <v>121.577406020962</v>
      </c>
      <c r="BC27" s="13" t="s">
        <v>59</v>
      </c>
      <c r="BD27" s="12"/>
    </row>
    <row r="28" spans="1:56" ht="20" customHeight="1" x14ac:dyDescent="0.15">
      <c r="A28" s="14"/>
      <c r="B28" s="10">
        <v>11</v>
      </c>
      <c r="C28" s="11">
        <v>11</v>
      </c>
      <c r="D28" s="11">
        <v>0</v>
      </c>
      <c r="E28" s="12"/>
      <c r="F28" s="12"/>
      <c r="G28" s="13" t="s">
        <v>131</v>
      </c>
      <c r="H28" s="13" t="s">
        <v>73</v>
      </c>
      <c r="I28" s="13" t="s">
        <v>91</v>
      </c>
      <c r="J28" s="13" t="s">
        <v>132</v>
      </c>
      <c r="K28" s="13" t="s">
        <v>115</v>
      </c>
      <c r="L28" s="13" t="s">
        <v>116</v>
      </c>
      <c r="M28" s="13" t="s">
        <v>80</v>
      </c>
      <c r="N28" s="13" t="s">
        <v>81</v>
      </c>
      <c r="O28" s="13" t="s">
        <v>81</v>
      </c>
      <c r="P28" s="13" t="s">
        <v>133</v>
      </c>
      <c r="Q28" s="13" t="s">
        <v>83</v>
      </c>
      <c r="R28" s="12"/>
      <c r="S28" s="12"/>
      <c r="T28" s="12"/>
      <c r="U28" s="12"/>
      <c r="V28" s="11">
        <v>0</v>
      </c>
      <c r="W28" s="11">
        <v>11</v>
      </c>
      <c r="X28" s="11">
        <v>11</v>
      </c>
      <c r="Y28" s="11">
        <v>0</v>
      </c>
      <c r="Z28" s="11">
        <v>61.529034458100803</v>
      </c>
      <c r="AA28" s="12"/>
      <c r="AB28" s="12"/>
      <c r="AC28" s="12"/>
      <c r="AD28" s="12"/>
      <c r="AE28" s="12"/>
      <c r="AF28" s="12"/>
      <c r="AG28" s="12"/>
      <c r="AH28" s="11">
        <v>61.516656917054199</v>
      </c>
      <c r="AI28" s="11">
        <v>61.529034458100803</v>
      </c>
      <c r="AJ28" s="11">
        <v>61.529034458100803</v>
      </c>
      <c r="AK28" s="11">
        <v>61.529034458100803</v>
      </c>
      <c r="AL28" s="11">
        <v>2.0494579803198602E-3</v>
      </c>
      <c r="AM28" s="11">
        <v>63.5990045000799</v>
      </c>
      <c r="AN28" s="13" t="s">
        <v>132</v>
      </c>
      <c r="AO28" s="13" t="s">
        <v>115</v>
      </c>
      <c r="AP28" s="13" t="s">
        <v>116</v>
      </c>
      <c r="AQ28" s="13" t="s">
        <v>80</v>
      </c>
      <c r="AR28" s="13" t="s">
        <v>81</v>
      </c>
      <c r="AS28" s="13" t="s">
        <v>81</v>
      </c>
      <c r="AT28" s="13" t="s">
        <v>133</v>
      </c>
      <c r="AU28" s="13" t="s">
        <v>83</v>
      </c>
      <c r="AV28" s="11">
        <v>3</v>
      </c>
      <c r="AW28" s="11">
        <v>1</v>
      </c>
      <c r="AX28" s="13" t="s">
        <v>56</v>
      </c>
      <c r="AY28" s="13" t="s">
        <v>57</v>
      </c>
      <c r="AZ28" s="12"/>
      <c r="BA28" s="13" t="s">
        <v>58</v>
      </c>
      <c r="BB28" s="11">
        <v>121.577406020962</v>
      </c>
      <c r="BC28" s="13" t="s">
        <v>59</v>
      </c>
      <c r="BD28" s="12"/>
    </row>
    <row r="29" spans="1:56" ht="20" customHeight="1" x14ac:dyDescent="0.15">
      <c r="A29" s="14"/>
      <c r="B29" s="10">
        <v>12</v>
      </c>
      <c r="C29" s="11">
        <v>12</v>
      </c>
      <c r="D29" s="11">
        <v>0</v>
      </c>
      <c r="E29" s="12"/>
      <c r="F29" s="12"/>
      <c r="G29" s="13" t="s">
        <v>134</v>
      </c>
      <c r="H29" s="13" t="s">
        <v>64</v>
      </c>
      <c r="I29" s="13" t="s">
        <v>91</v>
      </c>
      <c r="J29" s="13" t="s">
        <v>135</v>
      </c>
      <c r="K29" s="13" t="s">
        <v>115</v>
      </c>
      <c r="L29" s="13" t="s">
        <v>116</v>
      </c>
      <c r="M29" s="13" t="s">
        <v>80</v>
      </c>
      <c r="N29" s="13" t="s">
        <v>81</v>
      </c>
      <c r="O29" s="13" t="s">
        <v>81</v>
      </c>
      <c r="P29" s="13" t="s">
        <v>136</v>
      </c>
      <c r="Q29" s="13" t="s">
        <v>83</v>
      </c>
      <c r="R29" s="12"/>
      <c r="S29" s="12"/>
      <c r="T29" s="12"/>
      <c r="U29" s="12"/>
      <c r="V29" s="11">
        <v>0</v>
      </c>
      <c r="W29" s="11">
        <v>12</v>
      </c>
      <c r="X29" s="11">
        <v>12</v>
      </c>
      <c r="Y29" s="11">
        <v>6</v>
      </c>
      <c r="Z29" s="11">
        <v>63.613479667110397</v>
      </c>
      <c r="AA29" s="12"/>
      <c r="AB29" s="12"/>
      <c r="AC29" s="12"/>
      <c r="AD29" s="12"/>
      <c r="AE29" s="12"/>
      <c r="AF29" s="12"/>
      <c r="AG29" s="12"/>
      <c r="AH29" s="11">
        <v>63.601060082903103</v>
      </c>
      <c r="AI29" s="11">
        <v>63.613479667110397</v>
      </c>
      <c r="AJ29" s="11">
        <v>63.613479667110397</v>
      </c>
      <c r="AK29" s="11">
        <v>63.613479667110397</v>
      </c>
      <c r="AL29" s="11">
        <v>1.9588340073823898E-3</v>
      </c>
      <c r="AM29" s="11">
        <v>66.029661082895501</v>
      </c>
      <c r="AN29" s="13" t="s">
        <v>135</v>
      </c>
      <c r="AO29" s="13" t="s">
        <v>115</v>
      </c>
      <c r="AP29" s="13" t="s">
        <v>116</v>
      </c>
      <c r="AQ29" s="13" t="s">
        <v>80</v>
      </c>
      <c r="AR29" s="13" t="s">
        <v>81</v>
      </c>
      <c r="AS29" s="13" t="s">
        <v>81</v>
      </c>
      <c r="AT29" s="13" t="s">
        <v>136</v>
      </c>
      <c r="AU29" s="13" t="s">
        <v>83</v>
      </c>
      <c r="AV29" s="11">
        <v>3</v>
      </c>
      <c r="AW29" s="11">
        <v>1</v>
      </c>
      <c r="AX29" s="13" t="s">
        <v>56</v>
      </c>
      <c r="AY29" s="13" t="s">
        <v>57</v>
      </c>
      <c r="AZ29" s="12"/>
      <c r="BA29" s="13" t="s">
        <v>58</v>
      </c>
      <c r="BB29" s="11">
        <v>121.577406020962</v>
      </c>
      <c r="BC29" s="13" t="s">
        <v>59</v>
      </c>
      <c r="BD29" s="12"/>
    </row>
    <row r="30" spans="1:56" ht="20" customHeight="1" x14ac:dyDescent="0.15">
      <c r="A30" s="14"/>
      <c r="B30" s="10">
        <v>13</v>
      </c>
      <c r="C30" s="11">
        <v>13</v>
      </c>
      <c r="D30" s="11">
        <v>0</v>
      </c>
      <c r="E30" s="12"/>
      <c r="F30" s="12"/>
      <c r="G30" s="13" t="s">
        <v>137</v>
      </c>
      <c r="H30" s="13" t="s">
        <v>138</v>
      </c>
      <c r="I30" s="13" t="s">
        <v>76</v>
      </c>
      <c r="J30" s="13" t="s">
        <v>139</v>
      </c>
      <c r="K30" s="13" t="s">
        <v>115</v>
      </c>
      <c r="L30" s="13" t="s">
        <v>116</v>
      </c>
      <c r="M30" s="13" t="s">
        <v>80</v>
      </c>
      <c r="N30" s="13" t="s">
        <v>81</v>
      </c>
      <c r="O30" s="13" t="s">
        <v>81</v>
      </c>
      <c r="P30" s="13" t="s">
        <v>140</v>
      </c>
      <c r="Q30" s="13" t="s">
        <v>83</v>
      </c>
      <c r="R30" s="12"/>
      <c r="S30" s="12"/>
      <c r="T30" s="12"/>
      <c r="U30" s="12"/>
      <c r="V30" s="11">
        <v>0</v>
      </c>
      <c r="W30" s="11">
        <v>13</v>
      </c>
      <c r="X30" s="11">
        <v>13</v>
      </c>
      <c r="Y30" s="11">
        <v>18</v>
      </c>
      <c r="Z30" s="11">
        <v>66.043957167072193</v>
      </c>
      <c r="AA30" s="12"/>
      <c r="AB30" s="12"/>
      <c r="AC30" s="12"/>
      <c r="AD30" s="12"/>
      <c r="AE30" s="12"/>
      <c r="AF30" s="12"/>
      <c r="AG30" s="12"/>
      <c r="AH30" s="11">
        <v>66.031879791989894</v>
      </c>
      <c r="AI30" s="11">
        <v>66.043957167072193</v>
      </c>
      <c r="AJ30" s="11">
        <v>66.043957167072193</v>
      </c>
      <c r="AK30" s="11">
        <v>66.043957167072193</v>
      </c>
      <c r="AL30" s="11">
        <v>2.1232499275356501E-3</v>
      </c>
      <c r="AM30" s="11">
        <v>68.348567875102205</v>
      </c>
      <c r="AN30" s="13" t="s">
        <v>139</v>
      </c>
      <c r="AO30" s="13" t="s">
        <v>115</v>
      </c>
      <c r="AP30" s="13" t="s">
        <v>116</v>
      </c>
      <c r="AQ30" s="13" t="s">
        <v>80</v>
      </c>
      <c r="AR30" s="13" t="s">
        <v>81</v>
      </c>
      <c r="AS30" s="13" t="s">
        <v>81</v>
      </c>
      <c r="AT30" s="13" t="s">
        <v>140</v>
      </c>
      <c r="AU30" s="13" t="s">
        <v>83</v>
      </c>
      <c r="AV30" s="11">
        <v>3</v>
      </c>
      <c r="AW30" s="11">
        <v>1</v>
      </c>
      <c r="AX30" s="13" t="s">
        <v>56</v>
      </c>
      <c r="AY30" s="13" t="s">
        <v>57</v>
      </c>
      <c r="AZ30" s="12"/>
      <c r="BA30" s="13" t="s">
        <v>58</v>
      </c>
      <c r="BB30" s="11">
        <v>121.577406020962</v>
      </c>
      <c r="BC30" s="13" t="s">
        <v>59</v>
      </c>
      <c r="BD30" s="12"/>
    </row>
    <row r="31" spans="1:56" ht="20" customHeight="1" x14ac:dyDescent="0.15">
      <c r="A31" s="14"/>
      <c r="B31" s="10">
        <v>14</v>
      </c>
      <c r="C31" s="11">
        <v>14</v>
      </c>
      <c r="D31" s="11">
        <v>0</v>
      </c>
      <c r="E31" s="12"/>
      <c r="F31" s="12"/>
      <c r="G31" s="13" t="s">
        <v>141</v>
      </c>
      <c r="H31" s="13" t="s">
        <v>142</v>
      </c>
      <c r="I31" s="13" t="s">
        <v>91</v>
      </c>
      <c r="J31" s="13" t="s">
        <v>71</v>
      </c>
      <c r="K31" s="13" t="s">
        <v>115</v>
      </c>
      <c r="L31" s="13" t="s">
        <v>116</v>
      </c>
      <c r="M31" s="13" t="s">
        <v>80</v>
      </c>
      <c r="N31" s="13" t="s">
        <v>81</v>
      </c>
      <c r="O31" s="13" t="s">
        <v>81</v>
      </c>
      <c r="P31" s="13" t="s">
        <v>143</v>
      </c>
      <c r="Q31" s="13" t="s">
        <v>83</v>
      </c>
      <c r="R31" s="12"/>
      <c r="S31" s="12"/>
      <c r="T31" s="12"/>
      <c r="U31" s="12"/>
      <c r="V31" s="11">
        <v>0</v>
      </c>
      <c r="W31" s="11">
        <v>14</v>
      </c>
      <c r="X31" s="11">
        <v>14</v>
      </c>
      <c r="Y31" s="11">
        <v>10</v>
      </c>
      <c r="Z31" s="11">
        <v>68.362938625039504</v>
      </c>
      <c r="AA31" s="12"/>
      <c r="AB31" s="12"/>
      <c r="AC31" s="12"/>
      <c r="AD31" s="12"/>
      <c r="AE31" s="12"/>
      <c r="AF31" s="12"/>
      <c r="AG31" s="12"/>
      <c r="AH31" s="11">
        <v>68.350718667032197</v>
      </c>
      <c r="AI31" s="11">
        <v>68.362938625039504</v>
      </c>
      <c r="AJ31" s="11">
        <v>68.362938625039504</v>
      </c>
      <c r="AK31" s="11">
        <v>68.362938625039504</v>
      </c>
      <c r="AL31" s="11">
        <v>2.03608395531774E-3</v>
      </c>
      <c r="AM31" s="11">
        <v>70.731324667110997</v>
      </c>
      <c r="AN31" s="13" t="s">
        <v>71</v>
      </c>
      <c r="AO31" s="13" t="s">
        <v>115</v>
      </c>
      <c r="AP31" s="13" t="s">
        <v>116</v>
      </c>
      <c r="AQ31" s="13" t="s">
        <v>80</v>
      </c>
      <c r="AR31" s="13" t="s">
        <v>81</v>
      </c>
      <c r="AS31" s="13" t="s">
        <v>81</v>
      </c>
      <c r="AT31" s="13" t="s">
        <v>143</v>
      </c>
      <c r="AU31" s="13" t="s">
        <v>83</v>
      </c>
      <c r="AV31" s="11">
        <v>3</v>
      </c>
      <c r="AW31" s="11">
        <v>1</v>
      </c>
      <c r="AX31" s="13" t="s">
        <v>56</v>
      </c>
      <c r="AY31" s="13" t="s">
        <v>57</v>
      </c>
      <c r="AZ31" s="12"/>
      <c r="BA31" s="13" t="s">
        <v>58</v>
      </c>
      <c r="BB31" s="11">
        <v>121.577406020962</v>
      </c>
      <c r="BC31" s="13" t="s">
        <v>59</v>
      </c>
      <c r="BD31" s="12"/>
    </row>
    <row r="32" spans="1:56" ht="20" customHeight="1" x14ac:dyDescent="0.15">
      <c r="A32" s="14"/>
      <c r="B32" s="10">
        <v>15</v>
      </c>
      <c r="C32" s="11">
        <v>15</v>
      </c>
      <c r="D32" s="11">
        <v>0</v>
      </c>
      <c r="E32" s="12"/>
      <c r="F32" s="12"/>
      <c r="G32" s="13" t="s">
        <v>144</v>
      </c>
      <c r="H32" s="13" t="s">
        <v>66</v>
      </c>
      <c r="I32" s="13" t="s">
        <v>91</v>
      </c>
      <c r="J32" s="13" t="s">
        <v>145</v>
      </c>
      <c r="K32" s="13" t="s">
        <v>115</v>
      </c>
      <c r="L32" s="13" t="s">
        <v>116</v>
      </c>
      <c r="M32" s="13" t="s">
        <v>80</v>
      </c>
      <c r="N32" s="13" t="s">
        <v>81</v>
      </c>
      <c r="O32" s="13" t="s">
        <v>81</v>
      </c>
      <c r="P32" s="13" t="s">
        <v>146</v>
      </c>
      <c r="Q32" s="13" t="s">
        <v>83</v>
      </c>
      <c r="R32" s="12"/>
      <c r="S32" s="12"/>
      <c r="T32" s="12"/>
      <c r="U32" s="12"/>
      <c r="V32" s="11">
        <v>0</v>
      </c>
      <c r="W32" s="11">
        <v>15</v>
      </c>
      <c r="X32" s="11">
        <v>15</v>
      </c>
      <c r="Y32" s="11">
        <v>9</v>
      </c>
      <c r="Z32" s="11">
        <v>70.7458877500612</v>
      </c>
      <c r="AA32" s="12"/>
      <c r="AB32" s="12"/>
      <c r="AC32" s="12"/>
      <c r="AD32" s="12"/>
      <c r="AE32" s="12"/>
      <c r="AF32" s="12"/>
      <c r="AG32" s="12"/>
      <c r="AH32" s="11">
        <v>70.733337125042496</v>
      </c>
      <c r="AI32" s="11">
        <v>70.7458877500612</v>
      </c>
      <c r="AJ32" s="11">
        <v>70.7458877500612</v>
      </c>
      <c r="AK32" s="11">
        <v>70.7458877500612</v>
      </c>
      <c r="AL32" s="11">
        <v>1.91979203373194E-3</v>
      </c>
      <c r="AM32" s="11">
        <v>73.048895375104607</v>
      </c>
      <c r="AN32" s="13" t="s">
        <v>145</v>
      </c>
      <c r="AO32" s="13" t="s">
        <v>115</v>
      </c>
      <c r="AP32" s="13" t="s">
        <v>116</v>
      </c>
      <c r="AQ32" s="13" t="s">
        <v>80</v>
      </c>
      <c r="AR32" s="13" t="s">
        <v>81</v>
      </c>
      <c r="AS32" s="13" t="s">
        <v>81</v>
      </c>
      <c r="AT32" s="13" t="s">
        <v>146</v>
      </c>
      <c r="AU32" s="13" t="s">
        <v>83</v>
      </c>
      <c r="AV32" s="11">
        <v>3</v>
      </c>
      <c r="AW32" s="11">
        <v>1</v>
      </c>
      <c r="AX32" s="13" t="s">
        <v>56</v>
      </c>
      <c r="AY32" s="13" t="s">
        <v>57</v>
      </c>
      <c r="AZ32" s="12"/>
      <c r="BA32" s="13" t="s">
        <v>58</v>
      </c>
      <c r="BB32" s="11">
        <v>121.577406020962</v>
      </c>
      <c r="BC32" s="13" t="s">
        <v>59</v>
      </c>
      <c r="BD32" s="12"/>
    </row>
    <row r="33" spans="1:56" ht="20" customHeight="1" x14ac:dyDescent="0.15">
      <c r="A33" s="14"/>
      <c r="B33" s="10">
        <v>16</v>
      </c>
      <c r="C33" s="11">
        <v>16</v>
      </c>
      <c r="D33" s="11">
        <v>0</v>
      </c>
      <c r="E33" s="12"/>
      <c r="F33" s="12"/>
      <c r="G33" s="13" t="s">
        <v>147</v>
      </c>
      <c r="H33" s="13" t="s">
        <v>148</v>
      </c>
      <c r="I33" s="13" t="s">
        <v>91</v>
      </c>
      <c r="J33" s="13" t="s">
        <v>149</v>
      </c>
      <c r="K33" s="13" t="s">
        <v>115</v>
      </c>
      <c r="L33" s="13" t="s">
        <v>116</v>
      </c>
      <c r="M33" s="13" t="s">
        <v>80</v>
      </c>
      <c r="N33" s="13" t="s">
        <v>81</v>
      </c>
      <c r="O33" s="13" t="s">
        <v>81</v>
      </c>
      <c r="P33" s="13" t="s">
        <v>150</v>
      </c>
      <c r="Q33" s="13" t="s">
        <v>83</v>
      </c>
      <c r="R33" s="12"/>
      <c r="S33" s="12"/>
      <c r="T33" s="12"/>
      <c r="U33" s="12"/>
      <c r="V33" s="11">
        <v>0</v>
      </c>
      <c r="W33" s="11">
        <v>16</v>
      </c>
      <c r="X33" s="11">
        <v>16</v>
      </c>
      <c r="Y33" s="11">
        <v>12</v>
      </c>
      <c r="Z33" s="11">
        <v>73.063553124899002</v>
      </c>
      <c r="AA33" s="12"/>
      <c r="AB33" s="12"/>
      <c r="AC33" s="12"/>
      <c r="AD33" s="12"/>
      <c r="AE33" s="12"/>
      <c r="AF33" s="12"/>
      <c r="AG33" s="12"/>
      <c r="AH33" s="11">
        <v>73.050863333046394</v>
      </c>
      <c r="AI33" s="11">
        <v>73.063553124899002</v>
      </c>
      <c r="AJ33" s="11">
        <v>73.063553124899002</v>
      </c>
      <c r="AK33" s="11">
        <v>73.063553124899002</v>
      </c>
      <c r="AL33" s="11">
        <v>1.8743339460343101E-3</v>
      </c>
      <c r="AM33" s="11">
        <v>76.431223582941996</v>
      </c>
      <c r="AN33" s="13" t="s">
        <v>149</v>
      </c>
      <c r="AO33" s="13" t="s">
        <v>115</v>
      </c>
      <c r="AP33" s="13" t="s">
        <v>116</v>
      </c>
      <c r="AQ33" s="13" t="s">
        <v>80</v>
      </c>
      <c r="AR33" s="13" t="s">
        <v>81</v>
      </c>
      <c r="AS33" s="13" t="s">
        <v>81</v>
      </c>
      <c r="AT33" s="13" t="s">
        <v>150</v>
      </c>
      <c r="AU33" s="13" t="s">
        <v>83</v>
      </c>
      <c r="AV33" s="11">
        <v>3</v>
      </c>
      <c r="AW33" s="11">
        <v>1</v>
      </c>
      <c r="AX33" s="13" t="s">
        <v>56</v>
      </c>
      <c r="AY33" s="13" t="s">
        <v>57</v>
      </c>
      <c r="AZ33" s="12"/>
      <c r="BA33" s="13" t="s">
        <v>58</v>
      </c>
      <c r="BB33" s="11">
        <v>121.577406020962</v>
      </c>
      <c r="BC33" s="13" t="s">
        <v>59</v>
      </c>
      <c r="BD33" s="12"/>
    </row>
    <row r="34" spans="1:56" ht="20" customHeight="1" x14ac:dyDescent="0.15">
      <c r="A34" s="14"/>
      <c r="B34" s="10">
        <v>17</v>
      </c>
      <c r="C34" s="11">
        <v>17</v>
      </c>
      <c r="D34" s="11">
        <v>0</v>
      </c>
      <c r="E34" s="12"/>
      <c r="F34" s="12"/>
      <c r="G34" s="13" t="s">
        <v>151</v>
      </c>
      <c r="H34" s="13" t="s">
        <v>65</v>
      </c>
      <c r="I34" s="13" t="s">
        <v>91</v>
      </c>
      <c r="J34" s="13" t="s">
        <v>152</v>
      </c>
      <c r="K34" s="13" t="s">
        <v>153</v>
      </c>
      <c r="L34" s="13" t="s">
        <v>154</v>
      </c>
      <c r="M34" s="13" t="s">
        <v>80</v>
      </c>
      <c r="N34" s="13" t="s">
        <v>81</v>
      </c>
      <c r="O34" s="13" t="s">
        <v>81</v>
      </c>
      <c r="P34" s="13" t="s">
        <v>155</v>
      </c>
      <c r="Q34" s="13" t="s">
        <v>83</v>
      </c>
      <c r="R34" s="12"/>
      <c r="S34" s="12"/>
      <c r="T34" s="12"/>
      <c r="U34" s="12"/>
      <c r="V34" s="11">
        <v>0</v>
      </c>
      <c r="W34" s="11">
        <v>17</v>
      </c>
      <c r="X34" s="11">
        <v>17</v>
      </c>
      <c r="Y34" s="11">
        <v>5</v>
      </c>
      <c r="Z34" s="11">
        <v>76.445491583086607</v>
      </c>
      <c r="AA34" s="12"/>
      <c r="AB34" s="12"/>
      <c r="AC34" s="12"/>
      <c r="AD34" s="12"/>
      <c r="AE34" s="12"/>
      <c r="AF34" s="12"/>
      <c r="AG34" s="12"/>
      <c r="AH34" s="11">
        <v>76.4332209581044</v>
      </c>
      <c r="AI34" s="11">
        <v>76.445491583086607</v>
      </c>
      <c r="AJ34" s="11">
        <v>76.445491583086607</v>
      </c>
      <c r="AK34" s="11">
        <v>76.445491583086607</v>
      </c>
      <c r="AL34" s="11">
        <v>1.8334998749196499E-3</v>
      </c>
      <c r="AM34" s="11">
        <v>78.281097375089303</v>
      </c>
      <c r="AN34" s="13" t="s">
        <v>152</v>
      </c>
      <c r="AO34" s="13" t="s">
        <v>153</v>
      </c>
      <c r="AP34" s="13" t="s">
        <v>154</v>
      </c>
      <c r="AQ34" s="13" t="s">
        <v>80</v>
      </c>
      <c r="AR34" s="13" t="s">
        <v>81</v>
      </c>
      <c r="AS34" s="13" t="s">
        <v>81</v>
      </c>
      <c r="AT34" s="13" t="s">
        <v>155</v>
      </c>
      <c r="AU34" s="13" t="s">
        <v>83</v>
      </c>
      <c r="AV34" s="11">
        <v>3</v>
      </c>
      <c r="AW34" s="11">
        <v>1</v>
      </c>
      <c r="AX34" s="13" t="s">
        <v>56</v>
      </c>
      <c r="AY34" s="13" t="s">
        <v>57</v>
      </c>
      <c r="AZ34" s="12"/>
      <c r="BA34" s="13" t="s">
        <v>58</v>
      </c>
      <c r="BB34" s="11">
        <v>121.577406020962</v>
      </c>
      <c r="BC34" s="13" t="s">
        <v>59</v>
      </c>
      <c r="BD34" s="12"/>
    </row>
    <row r="35" spans="1:56" ht="20" customHeight="1" x14ac:dyDescent="0.15">
      <c r="A35" s="14"/>
      <c r="B35" s="10">
        <v>18</v>
      </c>
      <c r="C35" s="11">
        <v>18</v>
      </c>
      <c r="D35" s="11">
        <v>0</v>
      </c>
      <c r="E35" s="12"/>
      <c r="F35" s="12"/>
      <c r="G35" s="13" t="s">
        <v>156</v>
      </c>
      <c r="H35" s="13" t="s">
        <v>157</v>
      </c>
      <c r="I35" s="13" t="s">
        <v>91</v>
      </c>
      <c r="J35" s="13" t="s">
        <v>68</v>
      </c>
      <c r="K35" s="13" t="s">
        <v>110</v>
      </c>
      <c r="L35" s="13" t="s">
        <v>158</v>
      </c>
      <c r="M35" s="13" t="s">
        <v>80</v>
      </c>
      <c r="N35" s="13" t="s">
        <v>81</v>
      </c>
      <c r="O35" s="13" t="s">
        <v>81</v>
      </c>
      <c r="P35" s="13" t="s">
        <v>159</v>
      </c>
      <c r="Q35" s="13" t="s">
        <v>83</v>
      </c>
      <c r="R35" s="12"/>
      <c r="S35" s="12"/>
      <c r="T35" s="12"/>
      <c r="U35" s="12"/>
      <c r="V35" s="11">
        <v>0</v>
      </c>
      <c r="W35" s="11">
        <v>18</v>
      </c>
      <c r="X35" s="11">
        <v>18</v>
      </c>
      <c r="Y35" s="11">
        <v>13</v>
      </c>
      <c r="Z35" s="11">
        <v>78.295398874906795</v>
      </c>
      <c r="AA35" s="12"/>
      <c r="AB35" s="12"/>
      <c r="AC35" s="12"/>
      <c r="AD35" s="12"/>
      <c r="AE35" s="12"/>
      <c r="AF35" s="12"/>
      <c r="AG35" s="12"/>
      <c r="AH35" s="11">
        <v>78.283067458076403</v>
      </c>
      <c r="AI35" s="11">
        <v>78.295398874906795</v>
      </c>
      <c r="AJ35" s="11">
        <v>78.295398874906795</v>
      </c>
      <c r="AK35" s="11">
        <v>78.295398874906795</v>
      </c>
      <c r="AL35" s="11">
        <v>1.8550839740783E-3</v>
      </c>
      <c r="AM35" s="11">
        <v>80.248181707924203</v>
      </c>
      <c r="AN35" s="13" t="s">
        <v>68</v>
      </c>
      <c r="AO35" s="13" t="s">
        <v>110</v>
      </c>
      <c r="AP35" s="13" t="s">
        <v>158</v>
      </c>
      <c r="AQ35" s="13" t="s">
        <v>80</v>
      </c>
      <c r="AR35" s="13" t="s">
        <v>81</v>
      </c>
      <c r="AS35" s="13" t="s">
        <v>81</v>
      </c>
      <c r="AT35" s="13" t="s">
        <v>159</v>
      </c>
      <c r="AU35" s="13" t="s">
        <v>83</v>
      </c>
      <c r="AV35" s="11">
        <v>3</v>
      </c>
      <c r="AW35" s="11">
        <v>1</v>
      </c>
      <c r="AX35" s="13" t="s">
        <v>56</v>
      </c>
      <c r="AY35" s="13" t="s">
        <v>57</v>
      </c>
      <c r="AZ35" s="12"/>
      <c r="BA35" s="13" t="s">
        <v>58</v>
      </c>
      <c r="BB35" s="11">
        <v>121.577406020962</v>
      </c>
      <c r="BC35" s="13" t="s">
        <v>59</v>
      </c>
      <c r="BD35" s="12"/>
    </row>
    <row r="36" spans="1:56" ht="20" customHeight="1" x14ac:dyDescent="0.15">
      <c r="A36" s="14"/>
      <c r="B36" s="10">
        <v>19</v>
      </c>
      <c r="C36" s="11">
        <v>19</v>
      </c>
      <c r="D36" s="11">
        <v>0</v>
      </c>
      <c r="E36" s="12"/>
      <c r="F36" s="12"/>
      <c r="G36" s="13" t="s">
        <v>160</v>
      </c>
      <c r="H36" s="13" t="s">
        <v>161</v>
      </c>
      <c r="I36" s="13" t="s">
        <v>91</v>
      </c>
      <c r="J36" s="13" t="s">
        <v>60</v>
      </c>
      <c r="K36" s="13" t="s">
        <v>162</v>
      </c>
      <c r="L36" s="13" t="s">
        <v>163</v>
      </c>
      <c r="M36" s="13" t="s">
        <v>80</v>
      </c>
      <c r="N36" s="13" t="s">
        <v>81</v>
      </c>
      <c r="O36" s="13" t="s">
        <v>81</v>
      </c>
      <c r="P36" s="13" t="s">
        <v>164</v>
      </c>
      <c r="Q36" s="13" t="s">
        <v>83</v>
      </c>
      <c r="R36" s="12"/>
      <c r="S36" s="12"/>
      <c r="T36" s="12"/>
      <c r="U36" s="12"/>
      <c r="V36" s="11">
        <v>0</v>
      </c>
      <c r="W36" s="11">
        <v>19</v>
      </c>
      <c r="X36" s="11">
        <v>19</v>
      </c>
      <c r="Y36" s="11">
        <v>14</v>
      </c>
      <c r="Z36" s="11">
        <v>80.262976333033293</v>
      </c>
      <c r="AA36" s="12"/>
      <c r="AB36" s="12"/>
      <c r="AC36" s="12"/>
      <c r="AD36" s="12"/>
      <c r="AE36" s="12"/>
      <c r="AF36" s="12"/>
      <c r="AG36" s="12"/>
      <c r="AH36" s="11">
        <v>80.250427375081898</v>
      </c>
      <c r="AI36" s="11">
        <v>80.262976333033293</v>
      </c>
      <c r="AJ36" s="11">
        <v>80.262976333033293</v>
      </c>
      <c r="AK36" s="11">
        <v>80.262976333033293</v>
      </c>
      <c r="AL36" s="11">
        <v>2.1419171243905999E-3</v>
      </c>
      <c r="AM36" s="11">
        <v>83.031799457967296</v>
      </c>
      <c r="AN36" s="13" t="s">
        <v>60</v>
      </c>
      <c r="AO36" s="13" t="s">
        <v>162</v>
      </c>
      <c r="AP36" s="13" t="s">
        <v>163</v>
      </c>
      <c r="AQ36" s="13" t="s">
        <v>80</v>
      </c>
      <c r="AR36" s="13" t="s">
        <v>81</v>
      </c>
      <c r="AS36" s="13" t="s">
        <v>81</v>
      </c>
      <c r="AT36" s="13" t="s">
        <v>164</v>
      </c>
      <c r="AU36" s="13" t="s">
        <v>83</v>
      </c>
      <c r="AV36" s="11">
        <v>3</v>
      </c>
      <c r="AW36" s="11">
        <v>1</v>
      </c>
      <c r="AX36" s="13" t="s">
        <v>56</v>
      </c>
      <c r="AY36" s="13" t="s">
        <v>57</v>
      </c>
      <c r="AZ36" s="12"/>
      <c r="BA36" s="13" t="s">
        <v>58</v>
      </c>
      <c r="BB36" s="11">
        <v>121.577406020962</v>
      </c>
      <c r="BC36" s="13" t="s">
        <v>59</v>
      </c>
      <c r="BD36" s="12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148B7-4C6B-0C40-BA91-7310FE14C4A8}">
  <dimension ref="A1:BD42"/>
  <sheetViews>
    <sheetView tabSelected="1" workbookViewId="0">
      <selection activeCell="M43" sqref="M43"/>
    </sheetView>
  </sheetViews>
  <sheetFormatPr baseColWidth="10" defaultRowHeight="13" x14ac:dyDescent="0.15"/>
  <cols>
    <col min="11" max="11" width="48.6640625" customWidth="1"/>
    <col min="13" max="13" width="11.6640625" bestFit="1" customWidth="1"/>
  </cols>
  <sheetData>
    <row r="1" spans="1:56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3"/>
    </row>
    <row r="2" spans="1:56" x14ac:dyDescent="0.15">
      <c r="A2" s="4" t="s">
        <v>55</v>
      </c>
      <c r="B2" s="5">
        <v>0</v>
      </c>
      <c r="C2" s="6">
        <v>0</v>
      </c>
      <c r="D2" s="6">
        <v>0</v>
      </c>
      <c r="E2" s="6">
        <v>1.16187050359712</v>
      </c>
      <c r="F2" s="6">
        <v>3.09314937493764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6">
        <v>0</v>
      </c>
      <c r="S2" s="6">
        <v>0</v>
      </c>
      <c r="T2" s="6">
        <v>0</v>
      </c>
      <c r="U2" s="6">
        <v>13</v>
      </c>
      <c r="V2" s="7"/>
      <c r="W2" s="7"/>
      <c r="X2" s="7"/>
      <c r="Y2" s="7"/>
      <c r="Z2" s="6">
        <v>5.9962499886751203E-2</v>
      </c>
      <c r="AA2" s="7"/>
      <c r="AB2" s="6">
        <v>3.6934749921783798E-2</v>
      </c>
      <c r="AC2" s="6">
        <v>5.9962499886751203E-2</v>
      </c>
      <c r="AD2" s="6">
        <v>5.9962499886751203E-2</v>
      </c>
      <c r="AE2" s="6">
        <v>3.1389481250662401</v>
      </c>
      <c r="AF2" s="6">
        <v>1.16187050359712</v>
      </c>
      <c r="AG2" s="6">
        <v>3.09314937493764</v>
      </c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6">
        <v>3</v>
      </c>
      <c r="AW2" s="6">
        <v>1</v>
      </c>
      <c r="AX2" s="8" t="s">
        <v>56</v>
      </c>
      <c r="AY2" s="8" t="s">
        <v>57</v>
      </c>
      <c r="AZ2" s="7"/>
      <c r="BA2" s="8" t="s">
        <v>58</v>
      </c>
      <c r="BB2" s="6">
        <v>121.577406020962</v>
      </c>
      <c r="BC2" s="8" t="s">
        <v>59</v>
      </c>
      <c r="BD2" s="7"/>
    </row>
    <row r="3" spans="1:56" x14ac:dyDescent="0.15">
      <c r="A3" s="9" t="s">
        <v>60</v>
      </c>
      <c r="B3" s="10">
        <v>1</v>
      </c>
      <c r="C3" s="11">
        <v>1</v>
      </c>
      <c r="D3" s="11">
        <v>0</v>
      </c>
      <c r="E3" s="11">
        <v>1.1546762589928099</v>
      </c>
      <c r="F3" s="11">
        <v>0.95504058385267898</v>
      </c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1">
        <v>0</v>
      </c>
      <c r="S3" s="11">
        <v>1</v>
      </c>
      <c r="T3" s="11">
        <v>1</v>
      </c>
      <c r="U3" s="11">
        <v>1</v>
      </c>
      <c r="V3" s="12"/>
      <c r="W3" s="12"/>
      <c r="X3" s="12"/>
      <c r="Y3" s="12"/>
      <c r="Z3" s="11">
        <v>3.1492061670869602</v>
      </c>
      <c r="AA3" s="12"/>
      <c r="AB3" s="11">
        <v>3.14241870795377</v>
      </c>
      <c r="AC3" s="11">
        <v>3.1492061670869602</v>
      </c>
      <c r="AD3" s="11">
        <v>3.1492061670869602</v>
      </c>
      <c r="AE3" s="11">
        <v>4.1051317499950501</v>
      </c>
      <c r="AF3" s="11">
        <v>1.1546762589928099</v>
      </c>
      <c r="AG3" s="11">
        <v>0.95504058385267898</v>
      </c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1">
        <v>3</v>
      </c>
      <c r="AW3" s="11">
        <v>1</v>
      </c>
      <c r="AX3" s="13" t="s">
        <v>56</v>
      </c>
      <c r="AY3" s="13" t="s">
        <v>57</v>
      </c>
      <c r="AZ3" s="12"/>
      <c r="BA3" s="13" t="s">
        <v>58</v>
      </c>
      <c r="BB3" s="11">
        <v>121.577406020962</v>
      </c>
      <c r="BC3" s="13" t="s">
        <v>59</v>
      </c>
      <c r="BD3" s="12"/>
    </row>
    <row r="4" spans="1:56" x14ac:dyDescent="0.15">
      <c r="A4" s="9" t="s">
        <v>61</v>
      </c>
      <c r="B4" s="10">
        <v>2</v>
      </c>
      <c r="C4" s="11">
        <v>2</v>
      </c>
      <c r="D4" s="11">
        <v>0</v>
      </c>
      <c r="E4" s="11">
        <v>1.1582733812949599</v>
      </c>
      <c r="F4" s="11">
        <v>0.841407458065078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1">
        <v>0</v>
      </c>
      <c r="S4" s="11">
        <v>2</v>
      </c>
      <c r="T4" s="11">
        <v>2</v>
      </c>
      <c r="U4" s="11">
        <v>12</v>
      </c>
      <c r="V4" s="12"/>
      <c r="W4" s="12"/>
      <c r="X4" s="12"/>
      <c r="Y4" s="12"/>
      <c r="Z4" s="11">
        <v>4.1150028330739596</v>
      </c>
      <c r="AA4" s="12"/>
      <c r="AB4" s="11">
        <v>4.1079033329151597</v>
      </c>
      <c r="AC4" s="11">
        <v>4.1150028330739596</v>
      </c>
      <c r="AD4" s="11">
        <v>4.1150028330739596</v>
      </c>
      <c r="AE4" s="11">
        <v>4.9733254169113899</v>
      </c>
      <c r="AF4" s="11">
        <v>1.1582733812949599</v>
      </c>
      <c r="AG4" s="11">
        <v>0.841407458065078</v>
      </c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1">
        <v>3</v>
      </c>
      <c r="AW4" s="11">
        <v>1</v>
      </c>
      <c r="AX4" s="13" t="s">
        <v>56</v>
      </c>
      <c r="AY4" s="13" t="s">
        <v>57</v>
      </c>
      <c r="AZ4" s="12"/>
      <c r="BA4" s="13" t="s">
        <v>58</v>
      </c>
      <c r="BB4" s="11">
        <v>121.577406020962</v>
      </c>
      <c r="BC4" s="13" t="s">
        <v>59</v>
      </c>
      <c r="BD4" s="12"/>
    </row>
    <row r="5" spans="1:56" x14ac:dyDescent="0.15">
      <c r="A5" s="9" t="s">
        <v>62</v>
      </c>
      <c r="B5" s="10">
        <v>3</v>
      </c>
      <c r="C5" s="11">
        <v>3</v>
      </c>
      <c r="D5" s="11">
        <v>0</v>
      </c>
      <c r="E5" s="11">
        <v>1.16187050359712</v>
      </c>
      <c r="F5" s="11">
        <v>0.88724408415146205</v>
      </c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1">
        <v>0</v>
      </c>
      <c r="S5" s="11">
        <v>3</v>
      </c>
      <c r="T5" s="11">
        <v>3</v>
      </c>
      <c r="U5" s="11">
        <v>7</v>
      </c>
      <c r="V5" s="12"/>
      <c r="W5" s="12"/>
      <c r="X5" s="12"/>
      <c r="Y5" s="12"/>
      <c r="Z5" s="11">
        <v>4.9892721250653302</v>
      </c>
      <c r="AA5" s="12"/>
      <c r="AB5" s="11">
        <v>4.9769947919994602</v>
      </c>
      <c r="AC5" s="11">
        <v>4.9892721250653302</v>
      </c>
      <c r="AD5" s="11">
        <v>4.9892721250653302</v>
      </c>
      <c r="AE5" s="11">
        <v>5.8724832918960601</v>
      </c>
      <c r="AF5" s="11">
        <v>1.16187050359712</v>
      </c>
      <c r="AG5" s="11">
        <v>0.88724408415146205</v>
      </c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1">
        <v>3</v>
      </c>
      <c r="AW5" s="11">
        <v>1</v>
      </c>
      <c r="AX5" s="13" t="s">
        <v>56</v>
      </c>
      <c r="AY5" s="13" t="s">
        <v>57</v>
      </c>
      <c r="AZ5" s="12"/>
      <c r="BA5" s="13" t="s">
        <v>58</v>
      </c>
      <c r="BB5" s="11">
        <v>121.577406020962</v>
      </c>
      <c r="BC5" s="13" t="s">
        <v>59</v>
      </c>
      <c r="BD5" s="12"/>
    </row>
    <row r="6" spans="1:56" x14ac:dyDescent="0.15">
      <c r="A6" s="9" t="s">
        <v>63</v>
      </c>
      <c r="B6" s="10">
        <v>4</v>
      </c>
      <c r="C6" s="11">
        <v>4</v>
      </c>
      <c r="D6" s="11">
        <v>0</v>
      </c>
      <c r="E6" s="11">
        <v>1.42086330935252</v>
      </c>
      <c r="F6" s="11">
        <v>1.2211024998687201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1">
        <v>0</v>
      </c>
      <c r="S6" s="11">
        <v>4</v>
      </c>
      <c r="T6" s="11">
        <v>4</v>
      </c>
      <c r="U6" s="11">
        <v>9</v>
      </c>
      <c r="V6" s="12"/>
      <c r="W6" s="12"/>
      <c r="X6" s="12"/>
      <c r="Y6" s="12"/>
      <c r="Z6" s="11">
        <v>5.8818446670193198</v>
      </c>
      <c r="AA6" s="12"/>
      <c r="AB6" s="11">
        <v>5.8753090829122803</v>
      </c>
      <c r="AC6" s="11">
        <v>5.8818446670193198</v>
      </c>
      <c r="AD6" s="11">
        <v>5.8818446670193198</v>
      </c>
      <c r="AE6" s="11">
        <v>7.1055752499960398</v>
      </c>
      <c r="AF6" s="11">
        <v>1.42086330935252</v>
      </c>
      <c r="AG6" s="11">
        <v>1.2211024998687201</v>
      </c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1">
        <v>3</v>
      </c>
      <c r="AW6" s="11">
        <v>1</v>
      </c>
      <c r="AX6" s="13" t="s">
        <v>56</v>
      </c>
      <c r="AY6" s="13" t="s">
        <v>57</v>
      </c>
      <c r="AZ6" s="12"/>
      <c r="BA6" s="13" t="s">
        <v>58</v>
      </c>
      <c r="BB6" s="11">
        <v>121.577406020962</v>
      </c>
      <c r="BC6" s="13" t="s">
        <v>59</v>
      </c>
      <c r="BD6" s="12"/>
    </row>
    <row r="7" spans="1:56" x14ac:dyDescent="0.15">
      <c r="A7" s="9" t="s">
        <v>64</v>
      </c>
      <c r="B7" s="10">
        <v>5</v>
      </c>
      <c r="C7" s="11">
        <v>5</v>
      </c>
      <c r="D7" s="11">
        <v>0</v>
      </c>
      <c r="E7" s="11">
        <v>1.0647482014388501</v>
      </c>
      <c r="F7" s="11">
        <v>1.89075070782565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1">
        <v>0</v>
      </c>
      <c r="S7" s="11">
        <v>5</v>
      </c>
      <c r="T7" s="11">
        <v>5</v>
      </c>
      <c r="U7" s="11">
        <v>11</v>
      </c>
      <c r="V7" s="12"/>
      <c r="W7" s="12"/>
      <c r="X7" s="12"/>
      <c r="Y7" s="12"/>
      <c r="Z7" s="11">
        <v>7.1133177499286804</v>
      </c>
      <c r="AA7" s="12"/>
      <c r="AB7" s="11">
        <v>7.1071558329276696</v>
      </c>
      <c r="AC7" s="11">
        <v>7.1133177499286804</v>
      </c>
      <c r="AD7" s="11">
        <v>7.1133177499286804</v>
      </c>
      <c r="AE7" s="11">
        <v>9.0055131670087594</v>
      </c>
      <c r="AF7" s="11">
        <v>1.0647482014388501</v>
      </c>
      <c r="AG7" s="11">
        <v>1.89075070782565</v>
      </c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1">
        <v>3</v>
      </c>
      <c r="AW7" s="11">
        <v>1</v>
      </c>
      <c r="AX7" s="13" t="s">
        <v>56</v>
      </c>
      <c r="AY7" s="13" t="s">
        <v>57</v>
      </c>
      <c r="AZ7" s="12"/>
      <c r="BA7" s="13" t="s">
        <v>58</v>
      </c>
      <c r="BB7" s="11">
        <v>121.577406020962</v>
      </c>
      <c r="BC7" s="13" t="s">
        <v>59</v>
      </c>
      <c r="BD7" s="12"/>
    </row>
    <row r="8" spans="1:56" x14ac:dyDescent="0.15">
      <c r="A8" s="9" t="s">
        <v>65</v>
      </c>
      <c r="B8" s="10">
        <v>6</v>
      </c>
      <c r="C8" s="11">
        <v>6</v>
      </c>
      <c r="D8" s="11">
        <v>0</v>
      </c>
      <c r="E8" s="11">
        <v>1.11510791366906</v>
      </c>
      <c r="F8" s="11">
        <v>1.02391954185441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1">
        <v>0</v>
      </c>
      <c r="S8" s="11">
        <v>6</v>
      </c>
      <c r="T8" s="11">
        <v>6</v>
      </c>
      <c r="U8" s="11">
        <v>10</v>
      </c>
      <c r="V8" s="12"/>
      <c r="W8" s="12"/>
      <c r="X8" s="12"/>
      <c r="Y8" s="12"/>
      <c r="Z8" s="11">
        <v>9.0146225830540097</v>
      </c>
      <c r="AA8" s="12"/>
      <c r="AB8" s="11">
        <v>9.0072522079572099</v>
      </c>
      <c r="AC8" s="11">
        <v>9.0146225830540097</v>
      </c>
      <c r="AD8" s="11">
        <v>9.0146225830540097</v>
      </c>
      <c r="AE8" s="11">
        <v>10.038619708037</v>
      </c>
      <c r="AF8" s="11">
        <v>1.11510791366906</v>
      </c>
      <c r="AG8" s="11">
        <v>1.02391954185441</v>
      </c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1">
        <v>3</v>
      </c>
      <c r="AW8" s="11">
        <v>1</v>
      </c>
      <c r="AX8" s="13" t="s">
        <v>56</v>
      </c>
      <c r="AY8" s="13" t="s">
        <v>57</v>
      </c>
      <c r="AZ8" s="12"/>
      <c r="BA8" s="13" t="s">
        <v>58</v>
      </c>
      <c r="BB8" s="11">
        <v>121.577406020962</v>
      </c>
      <c r="BC8" s="13" t="s">
        <v>59</v>
      </c>
      <c r="BD8" s="12"/>
    </row>
    <row r="9" spans="1:56" x14ac:dyDescent="0.15">
      <c r="A9" s="9" t="s">
        <v>66</v>
      </c>
      <c r="B9" s="10">
        <v>7</v>
      </c>
      <c r="C9" s="11">
        <v>7</v>
      </c>
      <c r="D9" s="11">
        <v>0</v>
      </c>
      <c r="E9" s="11">
        <v>1.11510791366906</v>
      </c>
      <c r="F9" s="11">
        <v>1.1724505829624801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1">
        <v>0</v>
      </c>
      <c r="S9" s="11">
        <v>7</v>
      </c>
      <c r="T9" s="11">
        <v>7</v>
      </c>
      <c r="U9" s="11">
        <v>14</v>
      </c>
      <c r="V9" s="12"/>
      <c r="W9" s="12"/>
      <c r="X9" s="12"/>
      <c r="Y9" s="12"/>
      <c r="Z9" s="11">
        <v>10.04771850002</v>
      </c>
      <c r="AA9" s="12"/>
      <c r="AB9" s="11">
        <v>10.040527499979399</v>
      </c>
      <c r="AC9" s="11">
        <v>10.04771850002</v>
      </c>
      <c r="AD9" s="11">
        <v>10.04771850002</v>
      </c>
      <c r="AE9" s="11">
        <v>11.222286792006299</v>
      </c>
      <c r="AF9" s="11">
        <v>1.11510791366906</v>
      </c>
      <c r="AG9" s="11">
        <v>1.1724505829624801</v>
      </c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1">
        <v>3</v>
      </c>
      <c r="AW9" s="11">
        <v>1</v>
      </c>
      <c r="AX9" s="13" t="s">
        <v>56</v>
      </c>
      <c r="AY9" s="13" t="s">
        <v>57</v>
      </c>
      <c r="AZ9" s="12"/>
      <c r="BA9" s="13" t="s">
        <v>58</v>
      </c>
      <c r="BB9" s="11">
        <v>121.577406020962</v>
      </c>
      <c r="BC9" s="13" t="s">
        <v>59</v>
      </c>
      <c r="BD9" s="12"/>
    </row>
    <row r="10" spans="1:56" x14ac:dyDescent="0.15">
      <c r="A10" s="9" t="s">
        <v>67</v>
      </c>
      <c r="B10" s="10">
        <v>8</v>
      </c>
      <c r="C10" s="11">
        <v>8</v>
      </c>
      <c r="D10" s="11">
        <v>0</v>
      </c>
      <c r="E10" s="11">
        <v>1.4856115107913701</v>
      </c>
      <c r="F10" s="11">
        <v>1.7408169999253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1">
        <v>0</v>
      </c>
      <c r="S10" s="11">
        <v>8</v>
      </c>
      <c r="T10" s="11">
        <v>8</v>
      </c>
      <c r="U10" s="11">
        <v>8</v>
      </c>
      <c r="V10" s="12"/>
      <c r="W10" s="12"/>
      <c r="X10" s="12"/>
      <c r="Y10" s="12"/>
      <c r="Z10" s="11">
        <v>11.2305536249187</v>
      </c>
      <c r="AA10" s="12"/>
      <c r="AB10" s="11">
        <v>11.2240647079889</v>
      </c>
      <c r="AC10" s="11">
        <v>11.2305536249187</v>
      </c>
      <c r="AD10" s="11">
        <v>11.2305536249187</v>
      </c>
      <c r="AE10" s="11">
        <v>12.972376875113699</v>
      </c>
      <c r="AF10" s="11">
        <v>1.4856115107913701</v>
      </c>
      <c r="AG10" s="11">
        <v>1.7408169999253</v>
      </c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1">
        <v>3</v>
      </c>
      <c r="AW10" s="11">
        <v>1</v>
      </c>
      <c r="AX10" s="13" t="s">
        <v>56</v>
      </c>
      <c r="AY10" s="13" t="s">
        <v>57</v>
      </c>
      <c r="AZ10" s="12"/>
      <c r="BA10" s="13" t="s">
        <v>58</v>
      </c>
      <c r="BB10" s="11">
        <v>121.577406020962</v>
      </c>
      <c r="BC10" s="13" t="s">
        <v>59</v>
      </c>
      <c r="BD10" s="12"/>
    </row>
    <row r="11" spans="1:56" x14ac:dyDescent="0.15">
      <c r="A11" s="9" t="s">
        <v>68</v>
      </c>
      <c r="B11" s="10">
        <v>9</v>
      </c>
      <c r="C11" s="11">
        <v>9</v>
      </c>
      <c r="D11" s="11">
        <v>0</v>
      </c>
      <c r="E11" s="11">
        <v>1.0071942446043201</v>
      </c>
      <c r="F11" s="11">
        <v>1.4232851660344801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1">
        <v>0</v>
      </c>
      <c r="S11" s="11">
        <v>9</v>
      </c>
      <c r="T11" s="11">
        <v>9</v>
      </c>
      <c r="U11" s="11">
        <v>0</v>
      </c>
      <c r="V11" s="12"/>
      <c r="W11" s="12"/>
      <c r="X11" s="12"/>
      <c r="Y11" s="12"/>
      <c r="Z11" s="11">
        <v>12.9814751250669</v>
      </c>
      <c r="AA11" s="12"/>
      <c r="AB11" s="11">
        <v>12.974230832886001</v>
      </c>
      <c r="AC11" s="11">
        <v>12.9814751250669</v>
      </c>
      <c r="AD11" s="11">
        <v>12.9814751250669</v>
      </c>
      <c r="AE11" s="11">
        <v>14.405550916912</v>
      </c>
      <c r="AF11" s="11">
        <v>1.0071942446043201</v>
      </c>
      <c r="AG11" s="11">
        <v>1.4232851660344801</v>
      </c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1">
        <v>3</v>
      </c>
      <c r="AW11" s="11">
        <v>1</v>
      </c>
      <c r="AX11" s="13" t="s">
        <v>56</v>
      </c>
      <c r="AY11" s="13" t="s">
        <v>57</v>
      </c>
      <c r="AZ11" s="12"/>
      <c r="BA11" s="13" t="s">
        <v>58</v>
      </c>
      <c r="BB11" s="11">
        <v>121.577406020962</v>
      </c>
      <c r="BC11" s="13" t="s">
        <v>59</v>
      </c>
      <c r="BD11" s="12"/>
    </row>
    <row r="12" spans="1:56" x14ac:dyDescent="0.15">
      <c r="A12" s="9" t="s">
        <v>69</v>
      </c>
      <c r="B12" s="10">
        <v>10</v>
      </c>
      <c r="C12" s="11">
        <v>10</v>
      </c>
      <c r="D12" s="11">
        <v>0</v>
      </c>
      <c r="E12" s="11">
        <v>1.63669064748201</v>
      </c>
      <c r="F12" s="11">
        <v>2.2071088750381</v>
      </c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1">
        <v>0</v>
      </c>
      <c r="S12" s="11">
        <v>10</v>
      </c>
      <c r="T12" s="11">
        <v>10</v>
      </c>
      <c r="U12" s="11">
        <v>6</v>
      </c>
      <c r="V12" s="12"/>
      <c r="W12" s="12"/>
      <c r="X12" s="12"/>
      <c r="Y12" s="12"/>
      <c r="Z12" s="11">
        <v>14.413743375102101</v>
      </c>
      <c r="AA12" s="12"/>
      <c r="AB12" s="11">
        <v>14.4072370829526</v>
      </c>
      <c r="AC12" s="11">
        <v>14.413743375102101</v>
      </c>
      <c r="AD12" s="11">
        <v>14.413743375102101</v>
      </c>
      <c r="AE12" s="11">
        <v>16.621909291949098</v>
      </c>
      <c r="AF12" s="11">
        <v>1.63669064748201</v>
      </c>
      <c r="AG12" s="11">
        <v>2.2071088750381</v>
      </c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1">
        <v>3</v>
      </c>
      <c r="AW12" s="11">
        <v>1</v>
      </c>
      <c r="AX12" s="13" t="s">
        <v>56</v>
      </c>
      <c r="AY12" s="13" t="s">
        <v>57</v>
      </c>
      <c r="AZ12" s="12"/>
      <c r="BA12" s="13" t="s">
        <v>58</v>
      </c>
      <c r="BB12" s="11">
        <v>121.577406020962</v>
      </c>
      <c r="BC12" s="13" t="s">
        <v>59</v>
      </c>
      <c r="BD12" s="12"/>
    </row>
    <row r="13" spans="1:56" x14ac:dyDescent="0.15">
      <c r="A13" s="9" t="s">
        <v>70</v>
      </c>
      <c r="B13" s="10">
        <v>11</v>
      </c>
      <c r="C13" s="11">
        <v>11</v>
      </c>
      <c r="D13" s="11">
        <v>0</v>
      </c>
      <c r="E13" s="11">
        <v>1.9640287769784199</v>
      </c>
      <c r="F13" s="11">
        <v>1.4739616669248801</v>
      </c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1">
        <v>0</v>
      </c>
      <c r="S13" s="11">
        <v>11</v>
      </c>
      <c r="T13" s="11">
        <v>11</v>
      </c>
      <c r="U13" s="11">
        <v>3</v>
      </c>
      <c r="V13" s="12"/>
      <c r="W13" s="12"/>
      <c r="X13" s="12"/>
      <c r="Y13" s="12"/>
      <c r="Z13" s="11">
        <v>16.631194333080199</v>
      </c>
      <c r="AA13" s="12"/>
      <c r="AB13" s="11">
        <v>16.6239605830051</v>
      </c>
      <c r="AC13" s="11">
        <v>16.631194333080199</v>
      </c>
      <c r="AD13" s="11">
        <v>16.631194333080199</v>
      </c>
      <c r="AE13" s="11">
        <v>18.105422582943</v>
      </c>
      <c r="AF13" s="11">
        <v>1.9640287769784199</v>
      </c>
      <c r="AG13" s="11">
        <v>1.4739616669248801</v>
      </c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1">
        <v>3</v>
      </c>
      <c r="AW13" s="11">
        <v>1</v>
      </c>
      <c r="AX13" s="13" t="s">
        <v>56</v>
      </c>
      <c r="AY13" s="13" t="s">
        <v>57</v>
      </c>
      <c r="AZ13" s="12"/>
      <c r="BA13" s="13" t="s">
        <v>58</v>
      </c>
      <c r="BB13" s="11">
        <v>121.577406020962</v>
      </c>
      <c r="BC13" s="13" t="s">
        <v>59</v>
      </c>
      <c r="BD13" s="12"/>
    </row>
    <row r="14" spans="1:56" x14ac:dyDescent="0.15">
      <c r="A14" s="9" t="s">
        <v>71</v>
      </c>
      <c r="B14" s="10">
        <v>12</v>
      </c>
      <c r="C14" s="11">
        <v>12</v>
      </c>
      <c r="D14" s="11">
        <v>0</v>
      </c>
      <c r="E14" s="11">
        <v>1.25539568345324</v>
      </c>
      <c r="F14" s="11">
        <v>1.68209866597317</v>
      </c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1">
        <v>0</v>
      </c>
      <c r="S14" s="11">
        <v>12</v>
      </c>
      <c r="T14" s="11">
        <v>12</v>
      </c>
      <c r="U14" s="11">
        <v>4</v>
      </c>
      <c r="V14" s="12"/>
      <c r="W14" s="12"/>
      <c r="X14" s="12"/>
      <c r="Y14" s="12"/>
      <c r="Z14" s="11">
        <v>18.114863791968698</v>
      </c>
      <c r="AA14" s="12"/>
      <c r="AB14" s="11">
        <v>18.108229374978698</v>
      </c>
      <c r="AC14" s="11">
        <v>18.114863791968698</v>
      </c>
      <c r="AD14" s="11">
        <v>18.114863791968698</v>
      </c>
      <c r="AE14" s="11">
        <v>19.7986294580624</v>
      </c>
      <c r="AF14" s="11">
        <v>1.25539568345324</v>
      </c>
      <c r="AG14" s="11">
        <v>1.68209866597317</v>
      </c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1">
        <v>3</v>
      </c>
      <c r="AW14" s="11">
        <v>1</v>
      </c>
      <c r="AX14" s="13" t="s">
        <v>56</v>
      </c>
      <c r="AY14" s="13" t="s">
        <v>57</v>
      </c>
      <c r="AZ14" s="12"/>
      <c r="BA14" s="13" t="s">
        <v>58</v>
      </c>
      <c r="BB14" s="11">
        <v>121.577406020962</v>
      </c>
      <c r="BC14" s="13" t="s">
        <v>59</v>
      </c>
      <c r="BD14" s="12"/>
    </row>
    <row r="15" spans="1:56" x14ac:dyDescent="0.15">
      <c r="A15" s="9" t="s">
        <v>72</v>
      </c>
      <c r="B15" s="10">
        <v>13</v>
      </c>
      <c r="C15" s="11">
        <v>13</v>
      </c>
      <c r="D15" s="11">
        <v>0</v>
      </c>
      <c r="E15" s="11">
        <v>1.0107913669064701</v>
      </c>
      <c r="F15" s="11">
        <v>1.36136566707864</v>
      </c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1">
        <v>0</v>
      </c>
      <c r="S15" s="11">
        <v>13</v>
      </c>
      <c r="T15" s="11">
        <v>13</v>
      </c>
      <c r="U15" s="11">
        <v>2</v>
      </c>
      <c r="V15" s="12"/>
      <c r="W15" s="12"/>
      <c r="X15" s="12"/>
      <c r="Y15" s="12"/>
      <c r="Z15" s="11">
        <v>19.813333667116201</v>
      </c>
      <c r="AA15" s="12"/>
      <c r="AB15" s="11">
        <v>19.801858624909102</v>
      </c>
      <c r="AC15" s="11">
        <v>19.813333667116201</v>
      </c>
      <c r="AD15" s="11">
        <v>19.813333667116201</v>
      </c>
      <c r="AE15" s="11">
        <v>21.1722503749188</v>
      </c>
      <c r="AF15" s="11">
        <v>1.0107913669064701</v>
      </c>
      <c r="AG15" s="11">
        <v>1.36136566707864</v>
      </c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1">
        <v>3</v>
      </c>
      <c r="AW15" s="11">
        <v>1</v>
      </c>
      <c r="AX15" s="13" t="s">
        <v>56</v>
      </c>
      <c r="AY15" s="13" t="s">
        <v>57</v>
      </c>
      <c r="AZ15" s="12"/>
      <c r="BA15" s="13" t="s">
        <v>58</v>
      </c>
      <c r="BB15" s="11">
        <v>121.577406020962</v>
      </c>
      <c r="BC15" s="13" t="s">
        <v>59</v>
      </c>
      <c r="BD15" s="12"/>
    </row>
    <row r="16" spans="1:56" x14ac:dyDescent="0.15">
      <c r="A16" s="9" t="s">
        <v>73</v>
      </c>
      <c r="B16" s="10">
        <v>14</v>
      </c>
      <c r="C16" s="11">
        <v>14</v>
      </c>
      <c r="D16" s="11">
        <v>0</v>
      </c>
      <c r="E16" s="11">
        <v>1</v>
      </c>
      <c r="F16" s="11">
        <v>1.1896914998069399</v>
      </c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1">
        <v>0</v>
      </c>
      <c r="S16" s="11">
        <v>14</v>
      </c>
      <c r="T16" s="11">
        <v>14</v>
      </c>
      <c r="U16" s="11">
        <v>5</v>
      </c>
      <c r="V16" s="12"/>
      <c r="W16" s="12"/>
      <c r="X16" s="12"/>
      <c r="Y16" s="12"/>
      <c r="Z16" s="11">
        <v>21.1814505830407</v>
      </c>
      <c r="AA16" s="12"/>
      <c r="AB16" s="11">
        <v>21.174816166982101</v>
      </c>
      <c r="AC16" s="11">
        <v>21.1814505830407</v>
      </c>
      <c r="AD16" s="11">
        <v>21.1814505830407</v>
      </c>
      <c r="AE16" s="11">
        <v>22.372076916973999</v>
      </c>
      <c r="AF16" s="11">
        <v>1</v>
      </c>
      <c r="AG16" s="11">
        <v>1.1896914998069399</v>
      </c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1">
        <v>3</v>
      </c>
      <c r="AW16" s="11">
        <v>1</v>
      </c>
      <c r="AX16" s="13" t="s">
        <v>56</v>
      </c>
      <c r="AY16" s="13" t="s">
        <v>57</v>
      </c>
      <c r="AZ16" s="12"/>
      <c r="BA16" s="13" t="s">
        <v>58</v>
      </c>
      <c r="BB16" s="11">
        <v>121.577406020962</v>
      </c>
      <c r="BC16" s="13" t="s">
        <v>59</v>
      </c>
      <c r="BD16" s="12"/>
    </row>
    <row r="17" spans="1:56" x14ac:dyDescent="0.15">
      <c r="A17" s="14"/>
      <c r="B17" s="10">
        <v>0</v>
      </c>
      <c r="C17" s="11">
        <v>0</v>
      </c>
      <c r="D17" s="11">
        <v>0</v>
      </c>
      <c r="E17" s="12"/>
      <c r="F17" s="12"/>
      <c r="G17" s="13" t="s">
        <v>74</v>
      </c>
      <c r="H17" s="13" t="s">
        <v>75</v>
      </c>
      <c r="I17" s="13" t="s">
        <v>76</v>
      </c>
      <c r="J17" s="13" t="s">
        <v>77</v>
      </c>
      <c r="K17" s="13" t="s">
        <v>78</v>
      </c>
      <c r="L17" s="13" t="s">
        <v>79</v>
      </c>
      <c r="M17" s="13" t="s">
        <v>80</v>
      </c>
      <c r="N17" s="13" t="s">
        <v>81</v>
      </c>
      <c r="O17" s="13" t="s">
        <v>81</v>
      </c>
      <c r="P17" s="13" t="s">
        <v>82</v>
      </c>
      <c r="Q17" s="13" t="s">
        <v>83</v>
      </c>
      <c r="R17" s="12"/>
      <c r="S17" s="12"/>
      <c r="T17" s="12"/>
      <c r="U17" s="12"/>
      <c r="V17" s="11">
        <v>0</v>
      </c>
      <c r="W17" s="11">
        <v>0</v>
      </c>
      <c r="X17" s="11">
        <v>0</v>
      </c>
      <c r="Y17" s="11">
        <v>19</v>
      </c>
      <c r="Z17" s="11">
        <v>22.389255332993301</v>
      </c>
      <c r="AA17" s="12"/>
      <c r="AB17" s="12"/>
      <c r="AC17" s="12"/>
      <c r="AD17" s="12"/>
      <c r="AE17" s="12"/>
      <c r="AF17" s="12"/>
      <c r="AG17" s="12"/>
      <c r="AH17" s="11">
        <v>22.380398333072701</v>
      </c>
      <c r="AI17" s="11">
        <v>22.389255332993301</v>
      </c>
      <c r="AJ17" s="11">
        <v>22.389255332993301</v>
      </c>
      <c r="AK17" s="11">
        <v>22.389255332993301</v>
      </c>
      <c r="AL17" s="11">
        <v>8.2991248928010498E-3</v>
      </c>
      <c r="AM17" s="11">
        <v>27.675254124915199</v>
      </c>
      <c r="AN17" s="13" t="s">
        <v>77</v>
      </c>
      <c r="AO17" s="13" t="s">
        <v>78</v>
      </c>
      <c r="AP17" s="13" t="s">
        <v>79</v>
      </c>
      <c r="AQ17" s="13" t="s">
        <v>80</v>
      </c>
      <c r="AR17" s="13" t="s">
        <v>81</v>
      </c>
      <c r="AS17" s="13" t="s">
        <v>81</v>
      </c>
      <c r="AT17" s="13" t="s">
        <v>82</v>
      </c>
      <c r="AU17" s="13" t="s">
        <v>83</v>
      </c>
      <c r="AV17" s="11">
        <v>3</v>
      </c>
      <c r="AW17" s="11">
        <v>1</v>
      </c>
      <c r="AX17" s="13" t="s">
        <v>56</v>
      </c>
      <c r="AY17" s="13" t="s">
        <v>57</v>
      </c>
      <c r="AZ17" s="12"/>
      <c r="BA17" s="13" t="s">
        <v>58</v>
      </c>
      <c r="BB17" s="11">
        <v>121.577406020962</v>
      </c>
      <c r="BC17" s="13" t="s">
        <v>59</v>
      </c>
      <c r="BD17" s="12"/>
    </row>
    <row r="18" spans="1:56" x14ac:dyDescent="0.15">
      <c r="A18" s="14"/>
      <c r="B18" s="10">
        <v>1</v>
      </c>
      <c r="C18" s="11">
        <v>1</v>
      </c>
      <c r="D18" s="11">
        <v>0</v>
      </c>
      <c r="E18" s="12"/>
      <c r="F18" s="12"/>
      <c r="G18" s="13" t="s">
        <v>84</v>
      </c>
      <c r="H18" s="13" t="s">
        <v>85</v>
      </c>
      <c r="I18" s="13" t="s">
        <v>76</v>
      </c>
      <c r="J18" s="13" t="s">
        <v>86</v>
      </c>
      <c r="K18" s="13" t="s">
        <v>87</v>
      </c>
      <c r="L18" s="13" t="s">
        <v>88</v>
      </c>
      <c r="M18" s="13" t="s">
        <v>80</v>
      </c>
      <c r="N18" s="13" t="s">
        <v>81</v>
      </c>
      <c r="O18" s="13" t="s">
        <v>81</v>
      </c>
      <c r="P18" s="13" t="s">
        <v>89</v>
      </c>
      <c r="Q18" s="13" t="s">
        <v>83</v>
      </c>
      <c r="R18" s="12"/>
      <c r="S18" s="12"/>
      <c r="T18" s="12"/>
      <c r="U18" s="12"/>
      <c r="V18" s="11">
        <v>0</v>
      </c>
      <c r="W18" s="11">
        <v>1</v>
      </c>
      <c r="X18" s="11">
        <v>1</v>
      </c>
      <c r="Y18" s="11">
        <v>17</v>
      </c>
      <c r="Z18" s="11">
        <v>27.687931082909898</v>
      </c>
      <c r="AA18" s="12"/>
      <c r="AB18" s="12"/>
      <c r="AC18" s="12"/>
      <c r="AD18" s="12"/>
      <c r="AE18" s="12"/>
      <c r="AF18" s="12"/>
      <c r="AG18" s="12"/>
      <c r="AH18" s="11">
        <v>27.6782652919646</v>
      </c>
      <c r="AI18" s="11">
        <v>27.687931082909898</v>
      </c>
      <c r="AJ18" s="11">
        <v>27.687931082909898</v>
      </c>
      <c r="AK18" s="11">
        <v>27.687931082909898</v>
      </c>
      <c r="AL18" s="11">
        <v>2.8797499835491202E-3</v>
      </c>
      <c r="AM18" s="11">
        <v>30.265459500020398</v>
      </c>
      <c r="AN18" s="13" t="s">
        <v>86</v>
      </c>
      <c r="AO18" s="13" t="s">
        <v>87</v>
      </c>
      <c r="AP18" s="13" t="s">
        <v>88</v>
      </c>
      <c r="AQ18" s="13" t="s">
        <v>80</v>
      </c>
      <c r="AR18" s="13" t="s">
        <v>81</v>
      </c>
      <c r="AS18" s="13" t="s">
        <v>81</v>
      </c>
      <c r="AT18" s="13" t="s">
        <v>89</v>
      </c>
      <c r="AU18" s="13" t="s">
        <v>83</v>
      </c>
      <c r="AV18" s="11">
        <v>3</v>
      </c>
      <c r="AW18" s="11">
        <v>1</v>
      </c>
      <c r="AX18" s="13" t="s">
        <v>56</v>
      </c>
      <c r="AY18" s="13" t="s">
        <v>57</v>
      </c>
      <c r="AZ18" s="12"/>
      <c r="BA18" s="13" t="s">
        <v>58</v>
      </c>
      <c r="BB18" s="11">
        <v>121.577406020962</v>
      </c>
      <c r="BC18" s="13" t="s">
        <v>59</v>
      </c>
      <c r="BD18" s="12"/>
    </row>
    <row r="19" spans="1:56" x14ac:dyDescent="0.15">
      <c r="A19" s="14"/>
      <c r="B19" s="10">
        <v>2</v>
      </c>
      <c r="C19" s="11">
        <v>2</v>
      </c>
      <c r="D19" s="11">
        <v>0</v>
      </c>
      <c r="E19" s="12"/>
      <c r="F19" s="12"/>
      <c r="G19" s="13" t="s">
        <v>90</v>
      </c>
      <c r="H19" s="13" t="s">
        <v>63</v>
      </c>
      <c r="I19" s="13" t="s">
        <v>91</v>
      </c>
      <c r="J19" s="13" t="s">
        <v>92</v>
      </c>
      <c r="K19" s="13" t="s">
        <v>93</v>
      </c>
      <c r="L19" s="13" t="s">
        <v>94</v>
      </c>
      <c r="M19" s="13" t="s">
        <v>80</v>
      </c>
      <c r="N19" s="13" t="s">
        <v>81</v>
      </c>
      <c r="O19" s="13" t="s">
        <v>81</v>
      </c>
      <c r="P19" s="13" t="s">
        <v>95</v>
      </c>
      <c r="Q19" s="13" t="s">
        <v>83</v>
      </c>
      <c r="R19" s="12"/>
      <c r="S19" s="12"/>
      <c r="T19" s="12"/>
      <c r="U19" s="12"/>
      <c r="V19" s="11">
        <v>0</v>
      </c>
      <c r="W19" s="11">
        <v>2</v>
      </c>
      <c r="X19" s="11">
        <v>2</v>
      </c>
      <c r="Y19" s="11">
        <v>4</v>
      </c>
      <c r="Z19" s="11">
        <v>30.279475207906199</v>
      </c>
      <c r="AA19" s="12"/>
      <c r="AB19" s="12"/>
      <c r="AC19" s="12"/>
      <c r="AD19" s="12"/>
      <c r="AE19" s="12"/>
      <c r="AF19" s="12"/>
      <c r="AG19" s="12"/>
      <c r="AH19" s="11">
        <v>30.2679220000282</v>
      </c>
      <c r="AI19" s="11">
        <v>30.279475207906199</v>
      </c>
      <c r="AJ19" s="11">
        <v>30.279475207906199</v>
      </c>
      <c r="AK19" s="11">
        <v>30.279475207906199</v>
      </c>
      <c r="AL19" s="11">
        <v>2.35154200345278E-3</v>
      </c>
      <c r="AM19" s="11">
        <v>34.964276375016198</v>
      </c>
      <c r="AN19" s="13" t="s">
        <v>92</v>
      </c>
      <c r="AO19" s="13" t="s">
        <v>93</v>
      </c>
      <c r="AP19" s="13" t="s">
        <v>94</v>
      </c>
      <c r="AQ19" s="13" t="s">
        <v>80</v>
      </c>
      <c r="AR19" s="13" t="s">
        <v>81</v>
      </c>
      <c r="AS19" s="13" t="s">
        <v>81</v>
      </c>
      <c r="AT19" s="13" t="s">
        <v>95</v>
      </c>
      <c r="AU19" s="13" t="s">
        <v>83</v>
      </c>
      <c r="AV19" s="11">
        <v>3</v>
      </c>
      <c r="AW19" s="11">
        <v>1</v>
      </c>
      <c r="AX19" s="13" t="s">
        <v>56</v>
      </c>
      <c r="AY19" s="13" t="s">
        <v>57</v>
      </c>
      <c r="AZ19" s="12"/>
      <c r="BA19" s="13" t="s">
        <v>58</v>
      </c>
      <c r="BB19" s="11">
        <v>121.577406020962</v>
      </c>
      <c r="BC19" s="13" t="s">
        <v>59</v>
      </c>
      <c r="BD19" s="12"/>
    </row>
    <row r="20" spans="1:56" x14ac:dyDescent="0.15">
      <c r="A20" s="14"/>
      <c r="B20" s="10">
        <v>3</v>
      </c>
      <c r="C20" s="11">
        <v>3</v>
      </c>
      <c r="D20" s="11">
        <v>0</v>
      </c>
      <c r="E20" s="12"/>
      <c r="F20" s="12"/>
      <c r="G20" s="13" t="s">
        <v>96</v>
      </c>
      <c r="H20" s="13" t="s">
        <v>67</v>
      </c>
      <c r="I20" s="13" t="s">
        <v>91</v>
      </c>
      <c r="J20" s="13" t="s">
        <v>67</v>
      </c>
      <c r="K20" s="13" t="s">
        <v>87</v>
      </c>
      <c r="L20" s="13" t="s">
        <v>97</v>
      </c>
      <c r="M20" s="13" t="s">
        <v>80</v>
      </c>
      <c r="N20" s="13" t="s">
        <v>81</v>
      </c>
      <c r="O20" s="13" t="s">
        <v>81</v>
      </c>
      <c r="P20" s="13" t="s">
        <v>98</v>
      </c>
      <c r="Q20" s="13" t="s">
        <v>83</v>
      </c>
      <c r="R20" s="12"/>
      <c r="S20" s="12"/>
      <c r="T20" s="12"/>
      <c r="U20" s="12"/>
      <c r="V20" s="11">
        <v>0</v>
      </c>
      <c r="W20" s="11">
        <v>3</v>
      </c>
      <c r="X20" s="11">
        <v>3</v>
      </c>
      <c r="Y20" s="11">
        <v>3</v>
      </c>
      <c r="Z20" s="11">
        <v>34.978691375115901</v>
      </c>
      <c r="AA20" s="12"/>
      <c r="AB20" s="12"/>
      <c r="AC20" s="12"/>
      <c r="AD20" s="12"/>
      <c r="AE20" s="12"/>
      <c r="AF20" s="12"/>
      <c r="AG20" s="12"/>
      <c r="AH20" s="11">
        <v>34.966493583051502</v>
      </c>
      <c r="AI20" s="11">
        <v>34.978691375115901</v>
      </c>
      <c r="AJ20" s="11">
        <v>34.978691375115901</v>
      </c>
      <c r="AK20" s="11">
        <v>34.978691375115901</v>
      </c>
      <c r="AL20" s="11">
        <v>2.1186668891459699E-3</v>
      </c>
      <c r="AM20" s="11">
        <v>37.564101666910602</v>
      </c>
      <c r="AN20" s="13" t="s">
        <v>67</v>
      </c>
      <c r="AO20" s="13" t="s">
        <v>87</v>
      </c>
      <c r="AP20" s="13" t="s">
        <v>97</v>
      </c>
      <c r="AQ20" s="13" t="s">
        <v>80</v>
      </c>
      <c r="AR20" s="13" t="s">
        <v>81</v>
      </c>
      <c r="AS20" s="13" t="s">
        <v>81</v>
      </c>
      <c r="AT20" s="13" t="s">
        <v>98</v>
      </c>
      <c r="AU20" s="13" t="s">
        <v>83</v>
      </c>
      <c r="AV20" s="11">
        <v>3</v>
      </c>
      <c r="AW20" s="11">
        <v>1</v>
      </c>
      <c r="AX20" s="13" t="s">
        <v>56</v>
      </c>
      <c r="AY20" s="13" t="s">
        <v>57</v>
      </c>
      <c r="AZ20" s="12"/>
      <c r="BA20" s="13" t="s">
        <v>58</v>
      </c>
      <c r="BB20" s="11">
        <v>121.577406020962</v>
      </c>
      <c r="BC20" s="13" t="s">
        <v>59</v>
      </c>
      <c r="BD20" s="12"/>
    </row>
    <row r="21" spans="1:56" x14ac:dyDescent="0.15">
      <c r="A21" s="14"/>
      <c r="B21" s="10">
        <v>4</v>
      </c>
      <c r="C21" s="11">
        <v>4</v>
      </c>
      <c r="D21" s="11">
        <v>0</v>
      </c>
      <c r="E21" s="12"/>
      <c r="F21" s="12"/>
      <c r="G21" s="13" t="s">
        <v>99</v>
      </c>
      <c r="H21" s="13" t="s">
        <v>55</v>
      </c>
      <c r="I21" s="13" t="s">
        <v>91</v>
      </c>
      <c r="J21" s="13" t="s">
        <v>100</v>
      </c>
      <c r="K21" s="13" t="s">
        <v>101</v>
      </c>
      <c r="L21" s="13" t="s">
        <v>102</v>
      </c>
      <c r="M21" s="13" t="s">
        <v>103</v>
      </c>
      <c r="N21" s="13" t="s">
        <v>104</v>
      </c>
      <c r="O21" s="13" t="s">
        <v>104</v>
      </c>
      <c r="P21" s="13" t="s">
        <v>105</v>
      </c>
      <c r="Q21" s="13" t="s">
        <v>106</v>
      </c>
      <c r="R21" s="12"/>
      <c r="S21" s="12"/>
      <c r="T21" s="12"/>
      <c r="U21" s="12"/>
      <c r="V21" s="11">
        <v>0</v>
      </c>
      <c r="W21" s="11">
        <v>4</v>
      </c>
      <c r="X21" s="11">
        <v>4</v>
      </c>
      <c r="Y21" s="11">
        <v>8</v>
      </c>
      <c r="Z21" s="11">
        <v>37.578440249897497</v>
      </c>
      <c r="AA21" s="12"/>
      <c r="AB21" s="12"/>
      <c r="AC21" s="12"/>
      <c r="AD21" s="12"/>
      <c r="AE21" s="12"/>
      <c r="AF21" s="12"/>
      <c r="AG21" s="12"/>
      <c r="AH21" s="11">
        <v>37.565866957884303</v>
      </c>
      <c r="AI21" s="11">
        <v>37.578440249897497</v>
      </c>
      <c r="AJ21" s="11">
        <v>37.578440249897497</v>
      </c>
      <c r="AK21" s="11">
        <v>37.578440249897497</v>
      </c>
      <c r="AL21" s="11">
        <v>1.6698751132935301E-3</v>
      </c>
      <c r="AM21" s="11">
        <v>41.331228707916999</v>
      </c>
      <c r="AN21" s="13" t="s">
        <v>100</v>
      </c>
      <c r="AO21" s="13" t="s">
        <v>101</v>
      </c>
      <c r="AP21" s="13" t="s">
        <v>102</v>
      </c>
      <c r="AQ21" s="13" t="s">
        <v>103</v>
      </c>
      <c r="AR21" s="13" t="s">
        <v>104</v>
      </c>
      <c r="AS21" s="13" t="s">
        <v>104</v>
      </c>
      <c r="AT21" s="13" t="s">
        <v>105</v>
      </c>
      <c r="AU21" s="13" t="s">
        <v>106</v>
      </c>
      <c r="AV21" s="11">
        <v>3</v>
      </c>
      <c r="AW21" s="11">
        <v>1</v>
      </c>
      <c r="AX21" s="13" t="s">
        <v>56</v>
      </c>
      <c r="AY21" s="13" t="s">
        <v>57</v>
      </c>
      <c r="AZ21" s="12"/>
      <c r="BA21" s="13" t="s">
        <v>58</v>
      </c>
      <c r="BB21" s="11">
        <v>121.577406020962</v>
      </c>
      <c r="BC21" s="13" t="s">
        <v>59</v>
      </c>
      <c r="BD21" s="12"/>
    </row>
    <row r="22" spans="1:56" x14ac:dyDescent="0.15">
      <c r="A22" s="14"/>
      <c r="B22" s="10">
        <v>5</v>
      </c>
      <c r="C22" s="11">
        <v>5</v>
      </c>
      <c r="D22" s="11">
        <v>0</v>
      </c>
      <c r="E22" s="12"/>
      <c r="F22" s="12"/>
      <c r="G22" s="13" t="s">
        <v>107</v>
      </c>
      <c r="H22" s="13" t="s">
        <v>108</v>
      </c>
      <c r="I22" s="13" t="s">
        <v>76</v>
      </c>
      <c r="J22" s="13" t="s">
        <v>109</v>
      </c>
      <c r="K22" s="13" t="s">
        <v>110</v>
      </c>
      <c r="L22" s="13" t="s">
        <v>111</v>
      </c>
      <c r="M22" s="13" t="s">
        <v>80</v>
      </c>
      <c r="N22" s="13" t="s">
        <v>81</v>
      </c>
      <c r="O22" s="13" t="s">
        <v>81</v>
      </c>
      <c r="P22" s="13" t="s">
        <v>112</v>
      </c>
      <c r="Q22" s="13" t="s">
        <v>83</v>
      </c>
      <c r="R22" s="12"/>
      <c r="S22" s="12"/>
      <c r="T22" s="12"/>
      <c r="U22" s="12"/>
      <c r="V22" s="11">
        <v>0</v>
      </c>
      <c r="W22" s="11">
        <v>5</v>
      </c>
      <c r="X22" s="11">
        <v>5</v>
      </c>
      <c r="Y22" s="11">
        <v>16</v>
      </c>
      <c r="Z22" s="11">
        <v>41.345812042010998</v>
      </c>
      <c r="AA22" s="12"/>
      <c r="AB22" s="12"/>
      <c r="AC22" s="12"/>
      <c r="AD22" s="12"/>
      <c r="AE22" s="12"/>
      <c r="AF22" s="12"/>
      <c r="AG22" s="12"/>
      <c r="AH22" s="11">
        <v>41.333627291955104</v>
      </c>
      <c r="AI22" s="11">
        <v>41.345812042010998</v>
      </c>
      <c r="AJ22" s="11">
        <v>41.345812042010998</v>
      </c>
      <c r="AK22" s="11">
        <v>41.345812042010998</v>
      </c>
      <c r="AL22" s="11">
        <v>2.2647078149020698E-3</v>
      </c>
      <c r="AM22" s="11">
        <v>43.779319708002703</v>
      </c>
      <c r="AN22" s="13" t="s">
        <v>109</v>
      </c>
      <c r="AO22" s="13" t="s">
        <v>110</v>
      </c>
      <c r="AP22" s="13" t="s">
        <v>111</v>
      </c>
      <c r="AQ22" s="13" t="s">
        <v>80</v>
      </c>
      <c r="AR22" s="13" t="s">
        <v>81</v>
      </c>
      <c r="AS22" s="13" t="s">
        <v>81</v>
      </c>
      <c r="AT22" s="13" t="s">
        <v>112</v>
      </c>
      <c r="AU22" s="13" t="s">
        <v>83</v>
      </c>
      <c r="AV22" s="11">
        <v>3</v>
      </c>
      <c r="AW22" s="11">
        <v>1</v>
      </c>
      <c r="AX22" s="13" t="s">
        <v>56</v>
      </c>
      <c r="AY22" s="13" t="s">
        <v>57</v>
      </c>
      <c r="AZ22" s="12"/>
      <c r="BA22" s="13" t="s">
        <v>58</v>
      </c>
      <c r="BB22" s="11">
        <v>121.577406020962</v>
      </c>
      <c r="BC22" s="13" t="s">
        <v>59</v>
      </c>
      <c r="BD22" s="12"/>
    </row>
    <row r="23" spans="1:56" x14ac:dyDescent="0.15">
      <c r="A23" s="14"/>
      <c r="B23" s="10">
        <v>6</v>
      </c>
      <c r="C23" s="11">
        <v>6</v>
      </c>
      <c r="D23" s="11">
        <v>0</v>
      </c>
      <c r="E23" s="12"/>
      <c r="F23" s="12"/>
      <c r="G23" s="13" t="s">
        <v>113</v>
      </c>
      <c r="H23" s="13" t="s">
        <v>61</v>
      </c>
      <c r="I23" s="13" t="s">
        <v>91</v>
      </c>
      <c r="J23" s="13" t="s">
        <v>114</v>
      </c>
      <c r="K23" s="13" t="s">
        <v>115</v>
      </c>
      <c r="L23" s="13" t="s">
        <v>116</v>
      </c>
      <c r="M23" s="13" t="s">
        <v>80</v>
      </c>
      <c r="N23" s="13" t="s">
        <v>81</v>
      </c>
      <c r="O23" s="13" t="s">
        <v>81</v>
      </c>
      <c r="P23" s="13" t="s">
        <v>117</v>
      </c>
      <c r="Q23" s="13" t="s">
        <v>83</v>
      </c>
      <c r="R23" s="12"/>
      <c r="S23" s="12"/>
      <c r="T23" s="12"/>
      <c r="U23" s="12"/>
      <c r="V23" s="11">
        <v>0</v>
      </c>
      <c r="W23" s="11">
        <v>6</v>
      </c>
      <c r="X23" s="11">
        <v>6</v>
      </c>
      <c r="Y23" s="11">
        <v>7</v>
      </c>
      <c r="Z23" s="11">
        <v>43.792459042044399</v>
      </c>
      <c r="AA23" s="12"/>
      <c r="AB23" s="12"/>
      <c r="AC23" s="12"/>
      <c r="AD23" s="12"/>
      <c r="AE23" s="12"/>
      <c r="AF23" s="12"/>
      <c r="AG23" s="12"/>
      <c r="AH23" s="11">
        <v>43.781320082955098</v>
      </c>
      <c r="AI23" s="11">
        <v>43.792459042044399</v>
      </c>
      <c r="AJ23" s="11">
        <v>43.792459042044399</v>
      </c>
      <c r="AK23" s="11">
        <v>43.792459042044399</v>
      </c>
      <c r="AL23" s="11">
        <v>1.9037500023841899E-3</v>
      </c>
      <c r="AM23" s="11">
        <v>46.579915416892597</v>
      </c>
      <c r="AN23" s="13" t="s">
        <v>114</v>
      </c>
      <c r="AO23" s="13" t="s">
        <v>115</v>
      </c>
      <c r="AP23" s="13" t="s">
        <v>116</v>
      </c>
      <c r="AQ23" s="13" t="s">
        <v>80</v>
      </c>
      <c r="AR23" s="13" t="s">
        <v>81</v>
      </c>
      <c r="AS23" s="13" t="s">
        <v>81</v>
      </c>
      <c r="AT23" s="13" t="s">
        <v>117</v>
      </c>
      <c r="AU23" s="13" t="s">
        <v>83</v>
      </c>
      <c r="AV23" s="11">
        <v>3</v>
      </c>
      <c r="AW23" s="11">
        <v>1</v>
      </c>
      <c r="AX23" s="13" t="s">
        <v>56</v>
      </c>
      <c r="AY23" s="13" t="s">
        <v>57</v>
      </c>
      <c r="AZ23" s="12"/>
      <c r="BA23" s="13" t="s">
        <v>58</v>
      </c>
      <c r="BB23" s="11">
        <v>121.577406020962</v>
      </c>
      <c r="BC23" s="13" t="s">
        <v>59</v>
      </c>
      <c r="BD23" s="12"/>
    </row>
    <row r="24" spans="1:56" x14ac:dyDescent="0.15">
      <c r="A24" s="14"/>
      <c r="B24" s="10">
        <v>7</v>
      </c>
      <c r="C24" s="11">
        <v>7</v>
      </c>
      <c r="D24" s="11">
        <v>0</v>
      </c>
      <c r="E24" s="12"/>
      <c r="F24" s="12"/>
      <c r="G24" s="13" t="s">
        <v>118</v>
      </c>
      <c r="H24" s="13" t="s">
        <v>69</v>
      </c>
      <c r="I24" s="13" t="s">
        <v>91</v>
      </c>
      <c r="J24" s="13" t="s">
        <v>119</v>
      </c>
      <c r="K24" s="13" t="s">
        <v>120</v>
      </c>
      <c r="L24" s="13" t="s">
        <v>120</v>
      </c>
      <c r="M24" s="13" t="s">
        <v>120</v>
      </c>
      <c r="N24" s="13" t="s">
        <v>120</v>
      </c>
      <c r="O24" s="13" t="s">
        <v>120</v>
      </c>
      <c r="P24" s="13" t="s">
        <v>120</v>
      </c>
      <c r="Q24" s="13" t="s">
        <v>120</v>
      </c>
      <c r="R24" s="12"/>
      <c r="S24" s="12"/>
      <c r="T24" s="12"/>
      <c r="U24" s="12"/>
      <c r="V24" s="11">
        <v>0</v>
      </c>
      <c r="W24" s="11">
        <v>7</v>
      </c>
      <c r="X24" s="11">
        <v>7</v>
      </c>
      <c r="Y24" s="11">
        <v>1</v>
      </c>
      <c r="Z24" s="11">
        <v>46.593884957954302</v>
      </c>
      <c r="AA24" s="12"/>
      <c r="AB24" s="12"/>
      <c r="AC24" s="12"/>
      <c r="AD24" s="12"/>
      <c r="AE24" s="12"/>
      <c r="AF24" s="12"/>
      <c r="AG24" s="12"/>
      <c r="AH24" s="11">
        <v>46.5816494999453</v>
      </c>
      <c r="AI24" s="11">
        <v>46.593884957954302</v>
      </c>
      <c r="AJ24" s="11">
        <v>46.593884957954302</v>
      </c>
      <c r="AK24" s="11">
        <v>46.593884957954302</v>
      </c>
      <c r="AL24" s="11">
        <v>1.6546670813113501E-3</v>
      </c>
      <c r="AM24" s="11">
        <v>56.580350042088</v>
      </c>
      <c r="AN24" s="13" t="s">
        <v>119</v>
      </c>
      <c r="AO24" s="13" t="s">
        <v>120</v>
      </c>
      <c r="AP24" s="13" t="s">
        <v>120</v>
      </c>
      <c r="AQ24" s="13" t="s">
        <v>120</v>
      </c>
      <c r="AR24" s="13" t="s">
        <v>120</v>
      </c>
      <c r="AS24" s="13" t="s">
        <v>120</v>
      </c>
      <c r="AT24" s="13" t="s">
        <v>120</v>
      </c>
      <c r="AU24" s="13" t="s">
        <v>120</v>
      </c>
      <c r="AV24" s="11">
        <v>3</v>
      </c>
      <c r="AW24" s="11">
        <v>1</v>
      </c>
      <c r="AX24" s="13" t="s">
        <v>56</v>
      </c>
      <c r="AY24" s="13" t="s">
        <v>57</v>
      </c>
      <c r="AZ24" s="12"/>
      <c r="BA24" s="13" t="s">
        <v>58</v>
      </c>
      <c r="BB24" s="11">
        <v>121.577406020962</v>
      </c>
      <c r="BC24" s="13" t="s">
        <v>59</v>
      </c>
      <c r="BD24" s="12"/>
    </row>
    <row r="25" spans="1:56" x14ac:dyDescent="0.15">
      <c r="A25" s="14"/>
      <c r="B25" s="10">
        <v>8</v>
      </c>
      <c r="C25" s="11">
        <v>8</v>
      </c>
      <c r="D25" s="11">
        <v>0</v>
      </c>
      <c r="E25" s="12"/>
      <c r="F25" s="12"/>
      <c r="G25" s="15" t="s">
        <v>121</v>
      </c>
      <c r="H25" s="15" t="s">
        <v>122</v>
      </c>
      <c r="I25" s="15" t="s">
        <v>76</v>
      </c>
      <c r="J25" s="16"/>
      <c r="K25" s="13" t="s">
        <v>115</v>
      </c>
      <c r="L25" s="13" t="s">
        <v>116</v>
      </c>
      <c r="M25" s="13" t="s">
        <v>80</v>
      </c>
      <c r="N25" s="13" t="s">
        <v>81</v>
      </c>
      <c r="O25" s="13" t="s">
        <v>81</v>
      </c>
      <c r="P25" s="13" t="s">
        <v>123</v>
      </c>
      <c r="Q25" s="13" t="s">
        <v>83</v>
      </c>
      <c r="R25" s="12"/>
      <c r="S25" s="12"/>
      <c r="T25" s="12"/>
      <c r="U25" s="12"/>
      <c r="V25" s="11">
        <v>0</v>
      </c>
      <c r="W25" s="11">
        <v>8</v>
      </c>
      <c r="X25" s="11">
        <v>8</v>
      </c>
      <c r="Y25" s="11">
        <v>15</v>
      </c>
      <c r="Z25" s="11">
        <v>56.595456332899602</v>
      </c>
      <c r="AA25" s="12"/>
      <c r="AB25" s="12"/>
      <c r="AC25" s="12"/>
      <c r="AD25" s="12"/>
      <c r="AE25" s="12"/>
      <c r="AF25" s="12"/>
      <c r="AG25" s="12"/>
      <c r="AH25" s="11">
        <v>56.582663082983302</v>
      </c>
      <c r="AI25" s="11">
        <v>56.595456332899602</v>
      </c>
      <c r="AJ25" s="11">
        <v>56.595456332899602</v>
      </c>
      <c r="AK25" s="11">
        <v>56.595456332899602</v>
      </c>
      <c r="AL25" s="11">
        <v>2.6716671418398601E-3</v>
      </c>
      <c r="AM25" s="11">
        <v>56.797092166962102</v>
      </c>
      <c r="AN25" s="12"/>
      <c r="AO25" s="13" t="s">
        <v>115</v>
      </c>
      <c r="AP25" s="13" t="s">
        <v>116</v>
      </c>
      <c r="AQ25" s="13" t="s">
        <v>80</v>
      </c>
      <c r="AR25" s="13" t="s">
        <v>81</v>
      </c>
      <c r="AS25" s="13" t="s">
        <v>81</v>
      </c>
      <c r="AT25" s="13" t="s">
        <v>123</v>
      </c>
      <c r="AU25" s="13" t="s">
        <v>83</v>
      </c>
      <c r="AV25" s="11">
        <v>3</v>
      </c>
      <c r="AW25" s="11">
        <v>1</v>
      </c>
      <c r="AX25" s="13" t="s">
        <v>56</v>
      </c>
      <c r="AY25" s="13" t="s">
        <v>57</v>
      </c>
      <c r="AZ25" s="12"/>
      <c r="BA25" s="13" t="s">
        <v>58</v>
      </c>
      <c r="BB25" s="11">
        <v>121.577406020962</v>
      </c>
      <c r="BC25" s="13" t="s">
        <v>59</v>
      </c>
      <c r="BD25" s="12"/>
    </row>
    <row r="26" spans="1:56" x14ac:dyDescent="0.15">
      <c r="A26" s="14"/>
      <c r="B26" s="10">
        <v>9</v>
      </c>
      <c r="C26" s="11">
        <v>9</v>
      </c>
      <c r="D26" s="11">
        <v>0</v>
      </c>
      <c r="E26" s="12"/>
      <c r="F26" s="12"/>
      <c r="G26" s="15" t="s">
        <v>124</v>
      </c>
      <c r="H26" s="15" t="s">
        <v>125</v>
      </c>
      <c r="I26" s="15" t="s">
        <v>91</v>
      </c>
      <c r="J26" s="15" t="s">
        <v>126</v>
      </c>
      <c r="K26" s="13" t="s">
        <v>115</v>
      </c>
      <c r="L26" s="13" t="s">
        <v>116</v>
      </c>
      <c r="M26" s="13" t="s">
        <v>80</v>
      </c>
      <c r="N26" s="13" t="s">
        <v>81</v>
      </c>
      <c r="O26" s="13" t="s">
        <v>81</v>
      </c>
      <c r="P26" s="13" t="s">
        <v>127</v>
      </c>
      <c r="Q26" s="13" t="s">
        <v>83</v>
      </c>
      <c r="R26" s="12"/>
      <c r="S26" s="12"/>
      <c r="T26" s="12"/>
      <c r="U26" s="12"/>
      <c r="V26" s="11">
        <v>0</v>
      </c>
      <c r="W26" s="11">
        <v>9</v>
      </c>
      <c r="X26" s="11">
        <v>9</v>
      </c>
      <c r="Y26" s="11">
        <v>11</v>
      </c>
      <c r="Z26" s="11">
        <v>56.811348666902603</v>
      </c>
      <c r="AA26" s="12"/>
      <c r="AB26" s="12"/>
      <c r="AC26" s="12"/>
      <c r="AD26" s="12"/>
      <c r="AE26" s="12"/>
      <c r="AF26" s="12"/>
      <c r="AG26" s="12"/>
      <c r="AH26" s="11">
        <v>56.798749916954002</v>
      </c>
      <c r="AI26" s="11">
        <v>56.811348666902603</v>
      </c>
      <c r="AJ26" s="11">
        <v>56.811348666902603</v>
      </c>
      <c r="AK26" s="11">
        <v>56.811348666902603</v>
      </c>
      <c r="AL26" s="11">
        <v>1.5643329825252301E-3</v>
      </c>
      <c r="AM26" s="11">
        <v>59.2797640000936</v>
      </c>
      <c r="AN26" s="13" t="s">
        <v>126</v>
      </c>
      <c r="AO26" s="13" t="s">
        <v>115</v>
      </c>
      <c r="AP26" s="13" t="s">
        <v>116</v>
      </c>
      <c r="AQ26" s="13" t="s">
        <v>80</v>
      </c>
      <c r="AR26" s="13" t="s">
        <v>81</v>
      </c>
      <c r="AS26" s="13" t="s">
        <v>81</v>
      </c>
      <c r="AT26" s="13" t="s">
        <v>127</v>
      </c>
      <c r="AU26" s="13" t="s">
        <v>83</v>
      </c>
      <c r="AV26" s="11">
        <v>3</v>
      </c>
      <c r="AW26" s="11">
        <v>1</v>
      </c>
      <c r="AX26" s="13" t="s">
        <v>56</v>
      </c>
      <c r="AY26" s="13" t="s">
        <v>57</v>
      </c>
      <c r="AZ26" s="12"/>
      <c r="BA26" s="13" t="s">
        <v>58</v>
      </c>
      <c r="BB26" s="11">
        <v>121.577406020962</v>
      </c>
      <c r="BC26" s="13" t="s">
        <v>59</v>
      </c>
      <c r="BD26" s="12"/>
    </row>
    <row r="27" spans="1:56" x14ac:dyDescent="0.15">
      <c r="A27" s="14"/>
      <c r="B27" s="10">
        <v>10</v>
      </c>
      <c r="C27" s="11">
        <v>10</v>
      </c>
      <c r="D27" s="11">
        <v>0</v>
      </c>
      <c r="E27" s="12"/>
      <c r="F27" s="12"/>
      <c r="G27" s="13" t="s">
        <v>128</v>
      </c>
      <c r="H27" s="13" t="s">
        <v>62</v>
      </c>
      <c r="I27" s="13" t="s">
        <v>91</v>
      </c>
      <c r="J27" s="13" t="s">
        <v>129</v>
      </c>
      <c r="K27" s="13" t="s">
        <v>115</v>
      </c>
      <c r="L27" s="13" t="s">
        <v>116</v>
      </c>
      <c r="M27" s="13" t="s">
        <v>80</v>
      </c>
      <c r="N27" s="13" t="s">
        <v>81</v>
      </c>
      <c r="O27" s="13" t="s">
        <v>81</v>
      </c>
      <c r="P27" s="13" t="s">
        <v>130</v>
      </c>
      <c r="Q27" s="13" t="s">
        <v>83</v>
      </c>
      <c r="R27" s="12"/>
      <c r="S27" s="12"/>
      <c r="T27" s="12"/>
      <c r="U27" s="12"/>
      <c r="V27" s="11">
        <v>0</v>
      </c>
      <c r="W27" s="11">
        <v>10</v>
      </c>
      <c r="X27" s="11">
        <v>10</v>
      </c>
      <c r="Y27" s="11">
        <v>2</v>
      </c>
      <c r="Z27" s="11">
        <v>59.294064082903802</v>
      </c>
      <c r="AA27" s="12"/>
      <c r="AB27" s="12"/>
      <c r="AC27" s="12"/>
      <c r="AD27" s="12"/>
      <c r="AE27" s="12"/>
      <c r="AF27" s="12"/>
      <c r="AG27" s="12"/>
      <c r="AH27" s="11">
        <v>59.282222083071296</v>
      </c>
      <c r="AI27" s="11">
        <v>59.294064082903802</v>
      </c>
      <c r="AJ27" s="11">
        <v>59.294064082903802</v>
      </c>
      <c r="AK27" s="11">
        <v>59.294064082903802</v>
      </c>
      <c r="AL27" s="11">
        <v>2.3377500474452998E-3</v>
      </c>
      <c r="AM27" s="11">
        <v>61.514478666940697</v>
      </c>
      <c r="AN27" s="13" t="s">
        <v>129</v>
      </c>
      <c r="AO27" s="13" t="s">
        <v>115</v>
      </c>
      <c r="AP27" s="13" t="s">
        <v>116</v>
      </c>
      <c r="AQ27" s="13" t="s">
        <v>80</v>
      </c>
      <c r="AR27" s="13" t="s">
        <v>81</v>
      </c>
      <c r="AS27" s="13" t="s">
        <v>81</v>
      </c>
      <c r="AT27" s="13" t="s">
        <v>130</v>
      </c>
      <c r="AU27" s="13" t="s">
        <v>83</v>
      </c>
      <c r="AV27" s="11">
        <v>3</v>
      </c>
      <c r="AW27" s="11">
        <v>1</v>
      </c>
      <c r="AX27" s="13" t="s">
        <v>56</v>
      </c>
      <c r="AY27" s="13" t="s">
        <v>57</v>
      </c>
      <c r="AZ27" s="12"/>
      <c r="BA27" s="13" t="s">
        <v>58</v>
      </c>
      <c r="BB27" s="11">
        <v>121.577406020962</v>
      </c>
      <c r="BC27" s="13" t="s">
        <v>59</v>
      </c>
      <c r="BD27" s="12"/>
    </row>
    <row r="28" spans="1:56" x14ac:dyDescent="0.15">
      <c r="A28" s="14"/>
      <c r="B28" s="10">
        <v>11</v>
      </c>
      <c r="C28" s="11">
        <v>11</v>
      </c>
      <c r="D28" s="11">
        <v>0</v>
      </c>
      <c r="E28" s="12"/>
      <c r="F28" s="12"/>
      <c r="G28" s="13" t="s">
        <v>131</v>
      </c>
      <c r="H28" s="13" t="s">
        <v>73</v>
      </c>
      <c r="I28" s="13" t="s">
        <v>91</v>
      </c>
      <c r="J28" s="13" t="s">
        <v>132</v>
      </c>
      <c r="K28" s="13" t="s">
        <v>115</v>
      </c>
      <c r="L28" s="13" t="s">
        <v>116</v>
      </c>
      <c r="M28" s="13" t="s">
        <v>80</v>
      </c>
      <c r="N28" s="13" t="s">
        <v>81</v>
      </c>
      <c r="O28" s="13" t="s">
        <v>81</v>
      </c>
      <c r="P28" s="13" t="s">
        <v>133</v>
      </c>
      <c r="Q28" s="13" t="s">
        <v>83</v>
      </c>
      <c r="R28" s="12"/>
      <c r="S28" s="12"/>
      <c r="T28" s="12"/>
      <c r="U28" s="12"/>
      <c r="V28" s="11">
        <v>0</v>
      </c>
      <c r="W28" s="11">
        <v>11</v>
      </c>
      <c r="X28" s="11">
        <v>11</v>
      </c>
      <c r="Y28" s="11">
        <v>0</v>
      </c>
      <c r="Z28" s="11">
        <v>61.529034458100803</v>
      </c>
      <c r="AA28" s="12"/>
      <c r="AB28" s="12"/>
      <c r="AC28" s="12"/>
      <c r="AD28" s="12"/>
      <c r="AE28" s="12"/>
      <c r="AF28" s="12"/>
      <c r="AG28" s="12"/>
      <c r="AH28" s="11">
        <v>61.516656917054199</v>
      </c>
      <c r="AI28" s="11">
        <v>61.529034458100803</v>
      </c>
      <c r="AJ28" s="11">
        <v>61.529034458100803</v>
      </c>
      <c r="AK28" s="11">
        <v>61.529034458100803</v>
      </c>
      <c r="AL28" s="11">
        <v>2.0494579803198602E-3</v>
      </c>
      <c r="AM28" s="11">
        <v>63.5990045000799</v>
      </c>
      <c r="AN28" s="13" t="s">
        <v>132</v>
      </c>
      <c r="AO28" s="13" t="s">
        <v>115</v>
      </c>
      <c r="AP28" s="13" t="s">
        <v>116</v>
      </c>
      <c r="AQ28" s="13" t="s">
        <v>80</v>
      </c>
      <c r="AR28" s="13" t="s">
        <v>81</v>
      </c>
      <c r="AS28" s="13" t="s">
        <v>81</v>
      </c>
      <c r="AT28" s="13" t="s">
        <v>133</v>
      </c>
      <c r="AU28" s="13" t="s">
        <v>83</v>
      </c>
      <c r="AV28" s="11">
        <v>3</v>
      </c>
      <c r="AW28" s="11">
        <v>1</v>
      </c>
      <c r="AX28" s="13" t="s">
        <v>56</v>
      </c>
      <c r="AY28" s="13" t="s">
        <v>57</v>
      </c>
      <c r="AZ28" s="12"/>
      <c r="BA28" s="13" t="s">
        <v>58</v>
      </c>
      <c r="BB28" s="11">
        <v>121.577406020962</v>
      </c>
      <c r="BC28" s="13" t="s">
        <v>59</v>
      </c>
      <c r="BD28" s="12"/>
    </row>
    <row r="29" spans="1:56" x14ac:dyDescent="0.15">
      <c r="A29" s="14"/>
      <c r="B29" s="10">
        <v>12</v>
      </c>
      <c r="C29" s="11">
        <v>12</v>
      </c>
      <c r="D29" s="11">
        <v>0</v>
      </c>
      <c r="E29" s="12"/>
      <c r="F29" s="12"/>
      <c r="G29" s="13" t="s">
        <v>134</v>
      </c>
      <c r="H29" s="13" t="s">
        <v>64</v>
      </c>
      <c r="I29" s="13" t="s">
        <v>91</v>
      </c>
      <c r="J29" s="13" t="s">
        <v>135</v>
      </c>
      <c r="K29" s="13" t="s">
        <v>115</v>
      </c>
      <c r="L29" s="13" t="s">
        <v>116</v>
      </c>
      <c r="M29" s="13" t="s">
        <v>80</v>
      </c>
      <c r="N29" s="13" t="s">
        <v>81</v>
      </c>
      <c r="O29" s="13" t="s">
        <v>81</v>
      </c>
      <c r="P29" s="13" t="s">
        <v>136</v>
      </c>
      <c r="Q29" s="13" t="s">
        <v>83</v>
      </c>
      <c r="R29" s="12"/>
      <c r="S29" s="12"/>
      <c r="T29" s="12"/>
      <c r="U29" s="12"/>
      <c r="V29" s="11">
        <v>0</v>
      </c>
      <c r="W29" s="11">
        <v>12</v>
      </c>
      <c r="X29" s="11">
        <v>12</v>
      </c>
      <c r="Y29" s="11">
        <v>6</v>
      </c>
      <c r="Z29" s="11">
        <v>63.613479667110397</v>
      </c>
      <c r="AA29" s="12"/>
      <c r="AB29" s="12"/>
      <c r="AC29" s="12"/>
      <c r="AD29" s="12"/>
      <c r="AE29" s="12"/>
      <c r="AF29" s="12"/>
      <c r="AG29" s="12"/>
      <c r="AH29" s="11">
        <v>63.601060082903103</v>
      </c>
      <c r="AI29" s="11">
        <v>63.613479667110397</v>
      </c>
      <c r="AJ29" s="11">
        <v>63.613479667110397</v>
      </c>
      <c r="AK29" s="11">
        <v>63.613479667110397</v>
      </c>
      <c r="AL29" s="11">
        <v>1.9588340073823898E-3</v>
      </c>
      <c r="AM29" s="11">
        <v>66.029661082895501</v>
      </c>
      <c r="AN29" s="13" t="s">
        <v>135</v>
      </c>
      <c r="AO29" s="13" t="s">
        <v>115</v>
      </c>
      <c r="AP29" s="13" t="s">
        <v>116</v>
      </c>
      <c r="AQ29" s="13" t="s">
        <v>80</v>
      </c>
      <c r="AR29" s="13" t="s">
        <v>81</v>
      </c>
      <c r="AS29" s="13" t="s">
        <v>81</v>
      </c>
      <c r="AT29" s="13" t="s">
        <v>136</v>
      </c>
      <c r="AU29" s="13" t="s">
        <v>83</v>
      </c>
      <c r="AV29" s="11">
        <v>3</v>
      </c>
      <c r="AW29" s="11">
        <v>1</v>
      </c>
      <c r="AX29" s="13" t="s">
        <v>56</v>
      </c>
      <c r="AY29" s="13" t="s">
        <v>57</v>
      </c>
      <c r="AZ29" s="12"/>
      <c r="BA29" s="13" t="s">
        <v>58</v>
      </c>
      <c r="BB29" s="11">
        <v>121.577406020962</v>
      </c>
      <c r="BC29" s="13" t="s">
        <v>59</v>
      </c>
      <c r="BD29" s="12"/>
    </row>
    <row r="30" spans="1:56" x14ac:dyDescent="0.15">
      <c r="A30" s="14"/>
      <c r="B30" s="10">
        <v>13</v>
      </c>
      <c r="C30" s="11">
        <v>13</v>
      </c>
      <c r="D30" s="11">
        <v>0</v>
      </c>
      <c r="E30" s="12"/>
      <c r="F30" s="12"/>
      <c r="G30" s="13" t="s">
        <v>137</v>
      </c>
      <c r="H30" s="13" t="s">
        <v>138</v>
      </c>
      <c r="I30" s="13" t="s">
        <v>76</v>
      </c>
      <c r="J30" s="13" t="s">
        <v>139</v>
      </c>
      <c r="K30" s="13" t="s">
        <v>115</v>
      </c>
      <c r="L30" s="13" t="s">
        <v>116</v>
      </c>
      <c r="M30" s="13" t="s">
        <v>80</v>
      </c>
      <c r="N30" s="13" t="s">
        <v>81</v>
      </c>
      <c r="O30" s="13" t="s">
        <v>81</v>
      </c>
      <c r="P30" s="13" t="s">
        <v>140</v>
      </c>
      <c r="Q30" s="13" t="s">
        <v>83</v>
      </c>
      <c r="R30" s="12"/>
      <c r="S30" s="12"/>
      <c r="T30" s="12"/>
      <c r="U30" s="12"/>
      <c r="V30" s="11">
        <v>0</v>
      </c>
      <c r="W30" s="11">
        <v>13</v>
      </c>
      <c r="X30" s="11">
        <v>13</v>
      </c>
      <c r="Y30" s="11">
        <v>18</v>
      </c>
      <c r="Z30" s="11">
        <v>66.043957167072193</v>
      </c>
      <c r="AA30" s="12"/>
      <c r="AB30" s="12"/>
      <c r="AC30" s="12"/>
      <c r="AD30" s="12"/>
      <c r="AE30" s="12"/>
      <c r="AF30" s="12"/>
      <c r="AG30" s="12"/>
      <c r="AH30" s="11">
        <v>66.031879791989894</v>
      </c>
      <c r="AI30" s="11">
        <v>66.043957167072193</v>
      </c>
      <c r="AJ30" s="11">
        <v>66.043957167072193</v>
      </c>
      <c r="AK30" s="11">
        <v>66.043957167072193</v>
      </c>
      <c r="AL30" s="11">
        <v>2.1232499275356501E-3</v>
      </c>
      <c r="AM30" s="11">
        <v>68.348567875102205</v>
      </c>
      <c r="AN30" s="13" t="s">
        <v>139</v>
      </c>
      <c r="AO30" s="13" t="s">
        <v>115</v>
      </c>
      <c r="AP30" s="13" t="s">
        <v>116</v>
      </c>
      <c r="AQ30" s="13" t="s">
        <v>80</v>
      </c>
      <c r="AR30" s="13" t="s">
        <v>81</v>
      </c>
      <c r="AS30" s="13" t="s">
        <v>81</v>
      </c>
      <c r="AT30" s="13" t="s">
        <v>140</v>
      </c>
      <c r="AU30" s="13" t="s">
        <v>83</v>
      </c>
      <c r="AV30" s="11">
        <v>3</v>
      </c>
      <c r="AW30" s="11">
        <v>1</v>
      </c>
      <c r="AX30" s="13" t="s">
        <v>56</v>
      </c>
      <c r="AY30" s="13" t="s">
        <v>57</v>
      </c>
      <c r="AZ30" s="12"/>
      <c r="BA30" s="13" t="s">
        <v>58</v>
      </c>
      <c r="BB30" s="11">
        <v>121.577406020962</v>
      </c>
      <c r="BC30" s="13" t="s">
        <v>59</v>
      </c>
      <c r="BD30" s="12"/>
    </row>
    <row r="31" spans="1:56" x14ac:dyDescent="0.15">
      <c r="A31" s="14"/>
      <c r="B31" s="10">
        <v>14</v>
      </c>
      <c r="C31" s="11">
        <v>14</v>
      </c>
      <c r="D31" s="11">
        <v>0</v>
      </c>
      <c r="E31" s="12"/>
      <c r="F31" s="12"/>
      <c r="G31" s="13" t="s">
        <v>141</v>
      </c>
      <c r="H31" s="13" t="s">
        <v>142</v>
      </c>
      <c r="I31" s="13" t="s">
        <v>91</v>
      </c>
      <c r="J31" s="13" t="s">
        <v>71</v>
      </c>
      <c r="K31" s="13" t="s">
        <v>115</v>
      </c>
      <c r="L31" s="13" t="s">
        <v>116</v>
      </c>
      <c r="M31" s="13" t="s">
        <v>80</v>
      </c>
      <c r="N31" s="13" t="s">
        <v>81</v>
      </c>
      <c r="O31" s="13" t="s">
        <v>81</v>
      </c>
      <c r="P31" s="13" t="s">
        <v>143</v>
      </c>
      <c r="Q31" s="13" t="s">
        <v>83</v>
      </c>
      <c r="R31" s="12"/>
      <c r="S31" s="12"/>
      <c r="T31" s="12"/>
      <c r="U31" s="12"/>
      <c r="V31" s="11">
        <v>0</v>
      </c>
      <c r="W31" s="11">
        <v>14</v>
      </c>
      <c r="X31" s="11">
        <v>14</v>
      </c>
      <c r="Y31" s="11">
        <v>10</v>
      </c>
      <c r="Z31" s="11">
        <v>68.362938625039504</v>
      </c>
      <c r="AA31" s="12"/>
      <c r="AB31" s="12"/>
      <c r="AC31" s="12"/>
      <c r="AD31" s="12"/>
      <c r="AE31" s="12"/>
      <c r="AF31" s="12"/>
      <c r="AG31" s="12"/>
      <c r="AH31" s="11">
        <v>68.350718667032197</v>
      </c>
      <c r="AI31" s="11">
        <v>68.362938625039504</v>
      </c>
      <c r="AJ31" s="11">
        <v>68.362938625039504</v>
      </c>
      <c r="AK31" s="11">
        <v>68.362938625039504</v>
      </c>
      <c r="AL31" s="11">
        <v>2.03608395531774E-3</v>
      </c>
      <c r="AM31" s="11">
        <v>70.731324667110997</v>
      </c>
      <c r="AN31" s="13" t="s">
        <v>71</v>
      </c>
      <c r="AO31" s="13" t="s">
        <v>115</v>
      </c>
      <c r="AP31" s="13" t="s">
        <v>116</v>
      </c>
      <c r="AQ31" s="13" t="s">
        <v>80</v>
      </c>
      <c r="AR31" s="13" t="s">
        <v>81</v>
      </c>
      <c r="AS31" s="13" t="s">
        <v>81</v>
      </c>
      <c r="AT31" s="13" t="s">
        <v>143</v>
      </c>
      <c r="AU31" s="13" t="s">
        <v>83</v>
      </c>
      <c r="AV31" s="11">
        <v>3</v>
      </c>
      <c r="AW31" s="11">
        <v>1</v>
      </c>
      <c r="AX31" s="13" t="s">
        <v>56</v>
      </c>
      <c r="AY31" s="13" t="s">
        <v>57</v>
      </c>
      <c r="AZ31" s="12"/>
      <c r="BA31" s="13" t="s">
        <v>58</v>
      </c>
      <c r="BB31" s="11">
        <v>121.577406020962</v>
      </c>
      <c r="BC31" s="13" t="s">
        <v>59</v>
      </c>
      <c r="BD31" s="12"/>
    </row>
    <row r="32" spans="1:56" x14ac:dyDescent="0.15">
      <c r="A32" s="14"/>
      <c r="B32" s="10">
        <v>15</v>
      </c>
      <c r="C32" s="11">
        <v>15</v>
      </c>
      <c r="D32" s="11">
        <v>0</v>
      </c>
      <c r="E32" s="12"/>
      <c r="F32" s="12"/>
      <c r="G32" s="13" t="s">
        <v>144</v>
      </c>
      <c r="H32" s="13" t="s">
        <v>66</v>
      </c>
      <c r="I32" s="13" t="s">
        <v>91</v>
      </c>
      <c r="J32" s="13" t="s">
        <v>145</v>
      </c>
      <c r="K32" s="13" t="s">
        <v>115</v>
      </c>
      <c r="L32" s="13" t="s">
        <v>116</v>
      </c>
      <c r="M32" s="13" t="s">
        <v>80</v>
      </c>
      <c r="N32" s="13" t="s">
        <v>81</v>
      </c>
      <c r="O32" s="13" t="s">
        <v>81</v>
      </c>
      <c r="P32" s="13" t="s">
        <v>146</v>
      </c>
      <c r="Q32" s="13" t="s">
        <v>83</v>
      </c>
      <c r="R32" s="12"/>
      <c r="S32" s="12"/>
      <c r="T32" s="12"/>
      <c r="U32" s="12"/>
      <c r="V32" s="11">
        <v>0</v>
      </c>
      <c r="W32" s="11">
        <v>15</v>
      </c>
      <c r="X32" s="11">
        <v>15</v>
      </c>
      <c r="Y32" s="11">
        <v>9</v>
      </c>
      <c r="Z32" s="11">
        <v>70.7458877500612</v>
      </c>
      <c r="AA32" s="12"/>
      <c r="AB32" s="12"/>
      <c r="AC32" s="12"/>
      <c r="AD32" s="12"/>
      <c r="AE32" s="12"/>
      <c r="AF32" s="12"/>
      <c r="AG32" s="12"/>
      <c r="AH32" s="11">
        <v>70.733337125042496</v>
      </c>
      <c r="AI32" s="11">
        <v>70.7458877500612</v>
      </c>
      <c r="AJ32" s="11">
        <v>70.7458877500612</v>
      </c>
      <c r="AK32" s="11">
        <v>70.7458877500612</v>
      </c>
      <c r="AL32" s="11">
        <v>1.91979203373194E-3</v>
      </c>
      <c r="AM32" s="11">
        <v>73.048895375104607</v>
      </c>
      <c r="AN32" s="13" t="s">
        <v>145</v>
      </c>
      <c r="AO32" s="13" t="s">
        <v>115</v>
      </c>
      <c r="AP32" s="13" t="s">
        <v>116</v>
      </c>
      <c r="AQ32" s="13" t="s">
        <v>80</v>
      </c>
      <c r="AR32" s="13" t="s">
        <v>81</v>
      </c>
      <c r="AS32" s="13" t="s">
        <v>81</v>
      </c>
      <c r="AT32" s="13" t="s">
        <v>146</v>
      </c>
      <c r="AU32" s="13" t="s">
        <v>83</v>
      </c>
      <c r="AV32" s="11">
        <v>3</v>
      </c>
      <c r="AW32" s="11">
        <v>1</v>
      </c>
      <c r="AX32" s="13" t="s">
        <v>56</v>
      </c>
      <c r="AY32" s="13" t="s">
        <v>57</v>
      </c>
      <c r="AZ32" s="12"/>
      <c r="BA32" s="13" t="s">
        <v>58</v>
      </c>
      <c r="BB32" s="11">
        <v>121.577406020962</v>
      </c>
      <c r="BC32" s="13" t="s">
        <v>59</v>
      </c>
      <c r="BD32" s="12"/>
    </row>
    <row r="33" spans="1:56" x14ac:dyDescent="0.15">
      <c r="A33" s="14"/>
      <c r="B33" s="10">
        <v>16</v>
      </c>
      <c r="C33" s="11">
        <v>16</v>
      </c>
      <c r="D33" s="11">
        <v>0</v>
      </c>
      <c r="E33" s="12"/>
      <c r="F33" s="12"/>
      <c r="G33" s="15" t="s">
        <v>147</v>
      </c>
      <c r="H33" s="15" t="s">
        <v>148</v>
      </c>
      <c r="I33" s="15" t="s">
        <v>91</v>
      </c>
      <c r="J33" s="15" t="s">
        <v>149</v>
      </c>
      <c r="K33" s="13" t="s">
        <v>115</v>
      </c>
      <c r="L33" s="13" t="s">
        <v>116</v>
      </c>
      <c r="M33" s="13" t="s">
        <v>80</v>
      </c>
      <c r="N33" s="13" t="s">
        <v>81</v>
      </c>
      <c r="O33" s="13" t="s">
        <v>81</v>
      </c>
      <c r="P33" s="13" t="s">
        <v>150</v>
      </c>
      <c r="Q33" s="13" t="s">
        <v>83</v>
      </c>
      <c r="R33" s="12"/>
      <c r="S33" s="12"/>
      <c r="T33" s="12"/>
      <c r="U33" s="12"/>
      <c r="V33" s="11">
        <v>0</v>
      </c>
      <c r="W33" s="11">
        <v>16</v>
      </c>
      <c r="X33" s="11">
        <v>16</v>
      </c>
      <c r="Y33" s="11">
        <v>12</v>
      </c>
      <c r="Z33" s="11">
        <v>73.063553124899002</v>
      </c>
      <c r="AA33" s="12"/>
      <c r="AB33" s="12"/>
      <c r="AC33" s="12"/>
      <c r="AD33" s="12"/>
      <c r="AE33" s="12"/>
      <c r="AF33" s="12"/>
      <c r="AG33" s="12"/>
      <c r="AH33" s="11">
        <v>73.050863333046394</v>
      </c>
      <c r="AI33" s="11">
        <v>73.063553124899002</v>
      </c>
      <c r="AJ33" s="11">
        <v>73.063553124899002</v>
      </c>
      <c r="AK33" s="11">
        <v>73.063553124899002</v>
      </c>
      <c r="AL33" s="11">
        <v>1.8743339460343101E-3</v>
      </c>
      <c r="AM33" s="11">
        <v>76.431223582941996</v>
      </c>
      <c r="AN33" s="13" t="s">
        <v>149</v>
      </c>
      <c r="AO33" s="13" t="s">
        <v>115</v>
      </c>
      <c r="AP33" s="13" t="s">
        <v>116</v>
      </c>
      <c r="AQ33" s="13" t="s">
        <v>80</v>
      </c>
      <c r="AR33" s="13" t="s">
        <v>81</v>
      </c>
      <c r="AS33" s="13" t="s">
        <v>81</v>
      </c>
      <c r="AT33" s="13" t="s">
        <v>150</v>
      </c>
      <c r="AU33" s="13" t="s">
        <v>83</v>
      </c>
      <c r="AV33" s="11">
        <v>3</v>
      </c>
      <c r="AW33" s="11">
        <v>1</v>
      </c>
      <c r="AX33" s="13" t="s">
        <v>56</v>
      </c>
      <c r="AY33" s="13" t="s">
        <v>57</v>
      </c>
      <c r="AZ33" s="12"/>
      <c r="BA33" s="13" t="s">
        <v>58</v>
      </c>
      <c r="BB33" s="11">
        <v>121.577406020962</v>
      </c>
      <c r="BC33" s="13" t="s">
        <v>59</v>
      </c>
      <c r="BD33" s="12"/>
    </row>
    <row r="34" spans="1:56" x14ac:dyDescent="0.15">
      <c r="A34" s="14"/>
      <c r="B34" s="10">
        <v>17</v>
      </c>
      <c r="C34" s="11">
        <v>17</v>
      </c>
      <c r="D34" s="11">
        <v>0</v>
      </c>
      <c r="E34" s="12"/>
      <c r="F34" s="12"/>
      <c r="G34" s="13" t="s">
        <v>151</v>
      </c>
      <c r="H34" s="13" t="s">
        <v>65</v>
      </c>
      <c r="I34" s="13" t="s">
        <v>91</v>
      </c>
      <c r="J34" s="13" t="s">
        <v>152</v>
      </c>
      <c r="K34" s="13" t="s">
        <v>153</v>
      </c>
      <c r="L34" s="13" t="s">
        <v>154</v>
      </c>
      <c r="M34" s="13" t="s">
        <v>80</v>
      </c>
      <c r="N34" s="13" t="s">
        <v>81</v>
      </c>
      <c r="O34" s="13" t="s">
        <v>81</v>
      </c>
      <c r="P34" s="13" t="s">
        <v>155</v>
      </c>
      <c r="Q34" s="13" t="s">
        <v>83</v>
      </c>
      <c r="R34" s="12"/>
      <c r="S34" s="12"/>
      <c r="T34" s="12"/>
      <c r="U34" s="12"/>
      <c r="V34" s="11">
        <v>0</v>
      </c>
      <c r="W34" s="11">
        <v>17</v>
      </c>
      <c r="X34" s="11">
        <v>17</v>
      </c>
      <c r="Y34" s="11">
        <v>5</v>
      </c>
      <c r="Z34" s="11">
        <v>76.445491583086607</v>
      </c>
      <c r="AA34" s="12"/>
      <c r="AB34" s="12"/>
      <c r="AC34" s="12"/>
      <c r="AD34" s="12"/>
      <c r="AE34" s="12"/>
      <c r="AF34" s="12"/>
      <c r="AG34" s="12"/>
      <c r="AH34" s="11">
        <v>76.4332209581044</v>
      </c>
      <c r="AI34" s="11">
        <v>76.445491583086607</v>
      </c>
      <c r="AJ34" s="11">
        <v>76.445491583086607</v>
      </c>
      <c r="AK34" s="11">
        <v>76.445491583086607</v>
      </c>
      <c r="AL34" s="11">
        <v>1.8334998749196499E-3</v>
      </c>
      <c r="AM34" s="11">
        <v>78.281097375089303</v>
      </c>
      <c r="AN34" s="13" t="s">
        <v>152</v>
      </c>
      <c r="AO34" s="13" t="s">
        <v>153</v>
      </c>
      <c r="AP34" s="13" t="s">
        <v>154</v>
      </c>
      <c r="AQ34" s="13" t="s">
        <v>80</v>
      </c>
      <c r="AR34" s="13" t="s">
        <v>81</v>
      </c>
      <c r="AS34" s="13" t="s">
        <v>81</v>
      </c>
      <c r="AT34" s="13" t="s">
        <v>155</v>
      </c>
      <c r="AU34" s="13" t="s">
        <v>83</v>
      </c>
      <c r="AV34" s="11">
        <v>3</v>
      </c>
      <c r="AW34" s="11">
        <v>1</v>
      </c>
      <c r="AX34" s="13" t="s">
        <v>56</v>
      </c>
      <c r="AY34" s="13" t="s">
        <v>57</v>
      </c>
      <c r="AZ34" s="12"/>
      <c r="BA34" s="13" t="s">
        <v>58</v>
      </c>
      <c r="BB34" s="11">
        <v>121.577406020962</v>
      </c>
      <c r="BC34" s="13" t="s">
        <v>59</v>
      </c>
      <c r="BD34" s="12"/>
    </row>
    <row r="35" spans="1:56" x14ac:dyDescent="0.15">
      <c r="A35" s="14"/>
      <c r="B35" s="10">
        <v>18</v>
      </c>
      <c r="C35" s="11">
        <v>18</v>
      </c>
      <c r="D35" s="11">
        <v>0</v>
      </c>
      <c r="E35" s="12"/>
      <c r="F35" s="12"/>
      <c r="G35" s="13" t="s">
        <v>156</v>
      </c>
      <c r="H35" s="13" t="s">
        <v>157</v>
      </c>
      <c r="I35" s="13" t="s">
        <v>91</v>
      </c>
      <c r="J35" s="13" t="s">
        <v>68</v>
      </c>
      <c r="K35" s="13" t="s">
        <v>110</v>
      </c>
      <c r="L35" s="13" t="s">
        <v>158</v>
      </c>
      <c r="M35" s="13" t="s">
        <v>80</v>
      </c>
      <c r="N35" s="13" t="s">
        <v>81</v>
      </c>
      <c r="O35" s="13" t="s">
        <v>81</v>
      </c>
      <c r="P35" s="13" t="s">
        <v>159</v>
      </c>
      <c r="Q35" s="13" t="s">
        <v>83</v>
      </c>
      <c r="R35" s="12"/>
      <c r="S35" s="12"/>
      <c r="T35" s="12"/>
      <c r="U35" s="12"/>
      <c r="V35" s="11">
        <v>0</v>
      </c>
      <c r="W35" s="11">
        <v>18</v>
      </c>
      <c r="X35" s="11">
        <v>18</v>
      </c>
      <c r="Y35" s="11">
        <v>13</v>
      </c>
      <c r="Z35" s="11">
        <v>78.295398874906795</v>
      </c>
      <c r="AA35" s="12"/>
      <c r="AB35" s="12"/>
      <c r="AC35" s="12"/>
      <c r="AD35" s="12"/>
      <c r="AE35" s="12"/>
      <c r="AF35" s="12"/>
      <c r="AG35" s="12"/>
      <c r="AH35" s="11">
        <v>78.283067458076403</v>
      </c>
      <c r="AI35" s="11">
        <v>78.295398874906795</v>
      </c>
      <c r="AJ35" s="11">
        <v>78.295398874906795</v>
      </c>
      <c r="AK35" s="11">
        <v>78.295398874906795</v>
      </c>
      <c r="AL35" s="11">
        <v>1.8550839740783E-3</v>
      </c>
      <c r="AM35" s="11">
        <v>80.248181707924203</v>
      </c>
      <c r="AN35" s="13" t="s">
        <v>68</v>
      </c>
      <c r="AO35" s="13" t="s">
        <v>110</v>
      </c>
      <c r="AP35" s="13" t="s">
        <v>158</v>
      </c>
      <c r="AQ35" s="13" t="s">
        <v>80</v>
      </c>
      <c r="AR35" s="13" t="s">
        <v>81</v>
      </c>
      <c r="AS35" s="13" t="s">
        <v>81</v>
      </c>
      <c r="AT35" s="13" t="s">
        <v>159</v>
      </c>
      <c r="AU35" s="13" t="s">
        <v>83</v>
      </c>
      <c r="AV35" s="11">
        <v>3</v>
      </c>
      <c r="AW35" s="11">
        <v>1</v>
      </c>
      <c r="AX35" s="13" t="s">
        <v>56</v>
      </c>
      <c r="AY35" s="13" t="s">
        <v>57</v>
      </c>
      <c r="AZ35" s="12"/>
      <c r="BA35" s="13" t="s">
        <v>58</v>
      </c>
      <c r="BB35" s="11">
        <v>121.577406020962</v>
      </c>
      <c r="BC35" s="13" t="s">
        <v>59</v>
      </c>
      <c r="BD35" s="12"/>
    </row>
    <row r="36" spans="1:56" x14ac:dyDescent="0.15">
      <c r="A36" s="14"/>
      <c r="B36" s="10">
        <v>19</v>
      </c>
      <c r="C36" s="11">
        <v>19</v>
      </c>
      <c r="D36" s="11">
        <v>0</v>
      </c>
      <c r="E36" s="12"/>
      <c r="F36" s="12"/>
      <c r="G36" s="13" t="s">
        <v>160</v>
      </c>
      <c r="H36" s="13" t="s">
        <v>161</v>
      </c>
      <c r="I36" s="13" t="s">
        <v>91</v>
      </c>
      <c r="J36" s="13" t="s">
        <v>60</v>
      </c>
      <c r="K36" s="13" t="s">
        <v>162</v>
      </c>
      <c r="L36" s="13" t="s">
        <v>163</v>
      </c>
      <c r="M36" s="13" t="s">
        <v>80</v>
      </c>
      <c r="N36" s="13" t="s">
        <v>81</v>
      </c>
      <c r="O36" s="13" t="s">
        <v>81</v>
      </c>
      <c r="P36" s="13" t="s">
        <v>164</v>
      </c>
      <c r="Q36" s="13" t="s">
        <v>83</v>
      </c>
      <c r="R36" s="12"/>
      <c r="S36" s="12"/>
      <c r="T36" s="12"/>
      <c r="U36" s="12"/>
      <c r="V36" s="11">
        <v>0</v>
      </c>
      <c r="W36" s="11">
        <v>19</v>
      </c>
      <c r="X36" s="11">
        <v>19</v>
      </c>
      <c r="Y36" s="11">
        <v>14</v>
      </c>
      <c r="Z36" s="11">
        <v>80.262976333033293</v>
      </c>
      <c r="AA36" s="12"/>
      <c r="AB36" s="12"/>
      <c r="AC36" s="12"/>
      <c r="AD36" s="12"/>
      <c r="AE36" s="12"/>
      <c r="AF36" s="12"/>
      <c r="AG36" s="12"/>
      <c r="AH36" s="11">
        <v>80.250427375081898</v>
      </c>
      <c r="AI36" s="11">
        <v>80.262976333033293</v>
      </c>
      <c r="AJ36" s="11">
        <v>80.262976333033293</v>
      </c>
      <c r="AK36" s="11">
        <v>80.262976333033293</v>
      </c>
      <c r="AL36" s="11">
        <v>2.1419171243905999E-3</v>
      </c>
      <c r="AM36" s="11">
        <v>83.031799457967296</v>
      </c>
      <c r="AN36" s="13" t="s">
        <v>60</v>
      </c>
      <c r="AO36" s="13" t="s">
        <v>162</v>
      </c>
      <c r="AP36" s="13" t="s">
        <v>163</v>
      </c>
      <c r="AQ36" s="13" t="s">
        <v>80</v>
      </c>
      <c r="AR36" s="13" t="s">
        <v>81</v>
      </c>
      <c r="AS36" s="13" t="s">
        <v>81</v>
      </c>
      <c r="AT36" s="13" t="s">
        <v>164</v>
      </c>
      <c r="AU36" s="13" t="s">
        <v>83</v>
      </c>
      <c r="AV36" s="11">
        <v>3</v>
      </c>
      <c r="AW36" s="11">
        <v>1</v>
      </c>
      <c r="AX36" s="13" t="s">
        <v>56</v>
      </c>
      <c r="AY36" s="13" t="s">
        <v>57</v>
      </c>
      <c r="AZ36" s="12"/>
      <c r="BA36" s="13" t="s">
        <v>58</v>
      </c>
      <c r="BB36" s="11">
        <v>121.577406020962</v>
      </c>
      <c r="BC36" s="13" t="s">
        <v>59</v>
      </c>
      <c r="BD36" s="12"/>
    </row>
    <row r="38" spans="1:56" x14ac:dyDescent="0.15">
      <c r="K38" s="18" t="s">
        <v>165</v>
      </c>
      <c r="L38" s="18" t="s">
        <v>166</v>
      </c>
      <c r="M38">
        <f>13/14</f>
        <v>0.9285714285714286</v>
      </c>
    </row>
    <row r="40" spans="1:56" x14ac:dyDescent="0.15">
      <c r="K40" s="18" t="s">
        <v>167</v>
      </c>
      <c r="L40" s="18" t="s">
        <v>168</v>
      </c>
      <c r="M40">
        <f>4/5</f>
        <v>0.8</v>
      </c>
    </row>
    <row r="42" spans="1:56" ht="14" x14ac:dyDescent="0.15">
      <c r="K42" s="17" t="s">
        <v>169</v>
      </c>
      <c r="M42">
        <f>M38-M40</f>
        <v>0.12857142857142856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charvithakkar13@gmail.com</cp:lastModifiedBy>
  <dcterms:modified xsi:type="dcterms:W3CDTF">2025-10-17T18:09:21Z</dcterms:modified>
</cp:coreProperties>
</file>