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charvithakkar/Desktop/PSY310/"/>
    </mc:Choice>
  </mc:AlternateContent>
  <xr:revisionPtr revIDLastSave="0" documentId="13_ncr:1_{9AA64307-001F-1F4C-9305-AE20D1799D67}" xr6:coauthVersionLast="47" xr6:coauthVersionMax="47" xr10:uidLastSave="{00000000-0000-0000-0000-000000000000}"/>
  <bookViews>
    <workbookView xWindow="4300" yWindow="1020" windowWidth="18600" windowHeight="21060" activeTab="2" xr2:uid="{00000000-000D-0000-FFFF-FFFF00000000}"/>
  </bookViews>
  <sheets>
    <sheet name="Sheet 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F9" i="3"/>
  <c r="F5" i="3"/>
  <c r="F4" i="3"/>
</calcChain>
</file>

<file path=xl/sharedStrings.xml><?xml version="1.0" encoding="utf-8"?>
<sst xmlns="http://schemas.openxmlformats.org/spreadsheetml/2006/main" count="1057" uniqueCount="57">
  <si>
    <t>thisN</t>
  </si>
  <si>
    <t>thisTrialN</t>
  </si>
  <si>
    <t>thisRepN</t>
  </si>
  <si>
    <t>tilt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</si>
  <si>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</si>
  <si>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</si>
  <si>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</si>
  <si>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</si>
  <si>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</si>
  <si>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</si>
  <si>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</si>
  <si>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</si>
  <si>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</si>
  <si>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</si>
  <si>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</si>
  <si>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</si>
  <si>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</si>
  <si>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</si>
  <si>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</si>
  <si>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trials.tilt</t>
  </si>
  <si>
    <t>trials.key_resp.keys</t>
  </si>
  <si>
    <t>trials.key_resp.corr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</si>
  <si>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</si>
  <si>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</si>
  <si>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</si>
  <si>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</si>
  <si>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</si>
  <si>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</si>
  <si>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</si>
  <si>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</si>
  <si>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</si>
  <si>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</si>
  <si>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down</t>
  </si>
  <si>
    <t>None</t>
  </si>
  <si>
    <t>2025-09-10_23h13.20.741</t>
  </si>
  <si>
    <t>signal detection pra</t>
  </si>
  <si>
    <t>2025.1.1</t>
  </si>
  <si>
    <t>2025-09-10 23h13.27.112004 +0530</t>
  </si>
  <si>
    <t>up</t>
  </si>
  <si>
    <t>hit</t>
  </si>
  <si>
    <t>miss</t>
  </si>
  <si>
    <t>fa</t>
  </si>
  <si>
    <t>cr</t>
  </si>
  <si>
    <t>sum</t>
  </si>
  <si>
    <t>Respond YES</t>
  </si>
  <si>
    <t>Respond NO</t>
  </si>
  <si>
    <t>Signal Present</t>
  </si>
  <si>
    <t>Hit</t>
  </si>
  <si>
    <t>Miss</t>
  </si>
  <si>
    <t>Signal Absent</t>
  </si>
  <si>
    <t>False Alarm</t>
  </si>
  <si>
    <t>Correct Rejection</t>
  </si>
  <si>
    <t>prop hit = hit/hit+miss</t>
  </si>
  <si>
    <t>prop fa = fa/fa+corr rejection</t>
  </si>
  <si>
    <t>d-prime = z(prop hit)-z(prop fa)</t>
  </si>
  <si>
    <t>c = - (z(prop hit) + z(prop fa)/2</t>
  </si>
  <si>
    <t>(bias to respond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</si>
</sst>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0" borderId="0" xfId="0" applyFont="1">
      <alignment vertical="top" wrapText="1"/>
    </xf>
    <xf numFmtId="49" fontId="1" fillId="2" borderId="8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01"/>
  <sheetViews>
    <sheetView showGridLines="0" workbookViewId="0">
      <selection activeCell="D1" sqref="D1:D1048576"/>
    </sheetView>
  </sheetViews>
  <sheetFormatPr baseColWidth="10" defaultColWidth="8.33203125" defaultRowHeight="20" customHeight="1" x14ac:dyDescent="0.15"/>
  <cols>
    <col min="1" max="1" width="5.6640625" style="1" customWidth="1"/>
    <col min="2" max="2" width="9" style="1" customWidth="1"/>
    <col min="3" max="3" width="8.83203125" style="1" customWidth="1"/>
    <col min="4" max="4" width="3.5" style="1" customWidth="1"/>
    <col min="5" max="5" width="12.6640625" style="1" customWidth="1"/>
    <col min="6" max="6" width="12.33203125" style="1" customWidth="1"/>
    <col min="7" max="7" width="18.6640625" style="1" customWidth="1"/>
    <col min="8" max="8" width="15.6640625" style="1" customWidth="1"/>
    <col min="9" max="9" width="13.1640625" style="1" customWidth="1"/>
    <col min="10" max="10" width="13.33203125" style="1" customWidth="1"/>
    <col min="11" max="11" width="10" style="1" customWidth="1"/>
    <col min="12" max="12" width="13.1640625" style="1" customWidth="1"/>
    <col min="13" max="13" width="19.5" style="1" customWidth="1"/>
    <col min="14" max="14" width="6" style="1" customWidth="1"/>
    <col min="15" max="16" width="19.5" style="1" customWidth="1"/>
    <col min="17" max="19" width="17.6640625" style="1" customWidth="1"/>
    <col min="20" max="20" width="8" style="1" customWidth="1"/>
    <col min="21" max="21" width="17.1640625" style="1" customWidth="1"/>
    <col min="22" max="22" width="16.6640625" style="1" customWidth="1"/>
    <col min="23" max="23" width="18.6640625" style="1" customWidth="1"/>
    <col min="24" max="24" width="20" style="1" customWidth="1"/>
    <col min="25" max="25" width="10" style="1" customWidth="1"/>
    <col min="26" max="26" width="7.5" style="1" customWidth="1"/>
    <col min="27" max="27" width="21.1640625" style="1" customWidth="1"/>
    <col min="28" max="28" width="16.1640625" style="1" customWidth="1"/>
    <col min="29" max="29" width="10.1640625" style="1" customWidth="1"/>
    <col min="30" max="30" width="15" style="1" customWidth="1"/>
    <col min="31" max="31" width="9.83203125" style="1" customWidth="1"/>
    <col min="32" max="32" width="28.83203125" style="1" customWidth="1"/>
    <col min="33" max="34" width="8.33203125" style="1" customWidth="1"/>
    <col min="35" max="16384" width="8.33203125" style="1"/>
  </cols>
  <sheetData>
    <row r="1" spans="1:33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/>
    </row>
    <row r="2" spans="1:33" ht="20.25" customHeight="1" x14ac:dyDescent="0.15">
      <c r="A2" s="4">
        <v>0</v>
      </c>
      <c r="B2" s="5">
        <v>0</v>
      </c>
      <c r="C2" s="6">
        <v>0</v>
      </c>
      <c r="D2" s="6">
        <v>0</v>
      </c>
      <c r="E2" s="7" t="s">
        <v>32</v>
      </c>
      <c r="F2" s="6">
        <v>0</v>
      </c>
      <c r="G2" s="6">
        <v>1.08298429200659</v>
      </c>
      <c r="H2" s="7" t="s">
        <v>33</v>
      </c>
      <c r="I2" s="6">
        <v>0</v>
      </c>
      <c r="J2" s="6">
        <v>0</v>
      </c>
      <c r="K2" s="6">
        <v>0</v>
      </c>
      <c r="L2" s="6">
        <v>0</v>
      </c>
      <c r="M2" s="6">
        <v>7.6107920031063302E-3</v>
      </c>
      <c r="N2" s="8"/>
      <c r="O2" s="6">
        <v>4.4365419889800303E-3</v>
      </c>
      <c r="P2" s="6">
        <v>7.6107920031063302E-3</v>
      </c>
      <c r="Q2" s="6">
        <v>1.0019421670003801</v>
      </c>
      <c r="R2" s="6">
        <v>1.0079236669698699</v>
      </c>
      <c r="S2" s="6">
        <v>2.2705953749828001</v>
      </c>
      <c r="T2" s="6">
        <v>0</v>
      </c>
      <c r="U2" s="7" t="s">
        <v>32</v>
      </c>
      <c r="V2" s="6">
        <v>0</v>
      </c>
      <c r="W2" s="6">
        <v>1.08298429200659</v>
      </c>
      <c r="X2" s="7" t="s">
        <v>33</v>
      </c>
      <c r="Y2" s="6">
        <v>1</v>
      </c>
      <c r="Z2" s="6">
        <v>1</v>
      </c>
      <c r="AA2" s="7" t="s">
        <v>34</v>
      </c>
      <c r="AB2" s="7" t="s">
        <v>35</v>
      </c>
      <c r="AC2" s="8"/>
      <c r="AD2" s="7" t="s">
        <v>36</v>
      </c>
      <c r="AE2" s="7" t="s">
        <v>33</v>
      </c>
      <c r="AF2" s="7" t="s">
        <v>37</v>
      </c>
      <c r="AG2" s="8"/>
    </row>
    <row r="3" spans="1:33" ht="20" customHeight="1" x14ac:dyDescent="0.15">
      <c r="A3" s="9">
        <v>1</v>
      </c>
      <c r="B3" s="10">
        <v>0</v>
      </c>
      <c r="C3" s="11">
        <v>1</v>
      </c>
      <c r="D3" s="11">
        <v>0</v>
      </c>
      <c r="E3" s="12" t="s">
        <v>32</v>
      </c>
      <c r="F3" s="11">
        <v>0</v>
      </c>
      <c r="G3" s="11">
        <v>0.85212391702225398</v>
      </c>
      <c r="H3" s="12" t="s">
        <v>33</v>
      </c>
      <c r="I3" s="11">
        <v>1</v>
      </c>
      <c r="J3" s="11">
        <v>0</v>
      </c>
      <c r="K3" s="11">
        <v>1</v>
      </c>
      <c r="L3" s="11">
        <v>0</v>
      </c>
      <c r="M3" s="11">
        <v>2.3470539579866498</v>
      </c>
      <c r="N3" s="13"/>
      <c r="O3" s="11">
        <v>2.27072566695279</v>
      </c>
      <c r="P3" s="11">
        <v>2.3470539579866498</v>
      </c>
      <c r="Q3" s="11">
        <v>3.2582956249825701</v>
      </c>
      <c r="R3" s="11">
        <v>3.3404195829643899</v>
      </c>
      <c r="S3" s="11">
        <v>4.1218135419767403</v>
      </c>
      <c r="T3" s="11">
        <v>0</v>
      </c>
      <c r="U3" s="12" t="s">
        <v>32</v>
      </c>
      <c r="V3" s="11">
        <v>0</v>
      </c>
      <c r="W3" s="11">
        <v>0.85212391702225398</v>
      </c>
      <c r="X3" s="12" t="s">
        <v>33</v>
      </c>
      <c r="Y3" s="11">
        <v>1</v>
      </c>
      <c r="Z3" s="11">
        <v>1</v>
      </c>
      <c r="AA3" s="12" t="s">
        <v>34</v>
      </c>
      <c r="AB3" s="12" t="s">
        <v>35</v>
      </c>
      <c r="AC3" s="13"/>
      <c r="AD3" s="12" t="s">
        <v>36</v>
      </c>
      <c r="AE3" s="12" t="s">
        <v>33</v>
      </c>
      <c r="AF3" s="12" t="s">
        <v>37</v>
      </c>
      <c r="AG3" s="13"/>
    </row>
    <row r="4" spans="1:33" ht="20" customHeight="1" x14ac:dyDescent="0.15">
      <c r="A4" s="9">
        <v>2</v>
      </c>
      <c r="B4" s="10">
        <v>0</v>
      </c>
      <c r="C4" s="11">
        <v>2</v>
      </c>
      <c r="D4" s="11">
        <v>0</v>
      </c>
      <c r="E4" s="12" t="s">
        <v>38</v>
      </c>
      <c r="F4" s="11">
        <v>1</v>
      </c>
      <c r="G4" s="11">
        <v>0.68603958300082002</v>
      </c>
      <c r="H4" s="12" t="s">
        <v>33</v>
      </c>
      <c r="I4" s="11">
        <v>2</v>
      </c>
      <c r="J4" s="11">
        <v>0</v>
      </c>
      <c r="K4" s="11">
        <v>2</v>
      </c>
      <c r="L4" s="11">
        <v>0</v>
      </c>
      <c r="M4" s="11">
        <v>4.1426629999768902</v>
      </c>
      <c r="N4" s="13"/>
      <c r="O4" s="11">
        <v>4.1222488329512998</v>
      </c>
      <c r="P4" s="11">
        <v>4.1426629999768902</v>
      </c>
      <c r="Q4" s="11">
        <v>5.1203854579944199</v>
      </c>
      <c r="R4" s="11">
        <v>5.1404108749702599</v>
      </c>
      <c r="S4" s="11">
        <v>5.80824674997712</v>
      </c>
      <c r="T4" s="11">
        <v>0</v>
      </c>
      <c r="U4" s="12" t="s">
        <v>38</v>
      </c>
      <c r="V4" s="11">
        <v>1</v>
      </c>
      <c r="W4" s="11">
        <v>0.68603958300082002</v>
      </c>
      <c r="X4" s="12" t="s">
        <v>33</v>
      </c>
      <c r="Y4" s="11">
        <v>1</v>
      </c>
      <c r="Z4" s="11">
        <v>1</v>
      </c>
      <c r="AA4" s="12" t="s">
        <v>34</v>
      </c>
      <c r="AB4" s="12" t="s">
        <v>35</v>
      </c>
      <c r="AC4" s="13"/>
      <c r="AD4" s="12" t="s">
        <v>36</v>
      </c>
      <c r="AE4" s="12" t="s">
        <v>33</v>
      </c>
      <c r="AF4" s="12" t="s">
        <v>37</v>
      </c>
      <c r="AG4" s="13"/>
    </row>
    <row r="5" spans="1:33" ht="20" customHeight="1" x14ac:dyDescent="0.15">
      <c r="A5" s="9">
        <v>3</v>
      </c>
      <c r="B5" s="10">
        <v>0</v>
      </c>
      <c r="C5" s="11">
        <v>3</v>
      </c>
      <c r="D5" s="11">
        <v>0</v>
      </c>
      <c r="E5" s="12" t="s">
        <v>38</v>
      </c>
      <c r="F5" s="11">
        <v>1</v>
      </c>
      <c r="G5" s="11">
        <v>0.79234270803863205</v>
      </c>
      <c r="H5" s="12" t="s">
        <v>33</v>
      </c>
      <c r="I5" s="11">
        <v>3</v>
      </c>
      <c r="J5" s="11">
        <v>0</v>
      </c>
      <c r="K5" s="11">
        <v>3</v>
      </c>
      <c r="L5" s="11">
        <v>0</v>
      </c>
      <c r="M5" s="11">
        <v>5.8203594170045099</v>
      </c>
      <c r="N5" s="13"/>
      <c r="O5" s="11">
        <v>5.8086443329812001</v>
      </c>
      <c r="P5" s="11">
        <v>5.8203594170045099</v>
      </c>
      <c r="Q5" s="11">
        <v>6.8081444999552296</v>
      </c>
      <c r="R5" s="11">
        <v>6.8081444999552296</v>
      </c>
      <c r="S5" s="11">
        <v>7.6056491669733104</v>
      </c>
      <c r="T5" s="11">
        <v>0</v>
      </c>
      <c r="U5" s="12" t="s">
        <v>38</v>
      </c>
      <c r="V5" s="11">
        <v>1</v>
      </c>
      <c r="W5" s="11">
        <v>0.79234270803863205</v>
      </c>
      <c r="X5" s="12" t="s">
        <v>33</v>
      </c>
      <c r="Y5" s="11">
        <v>1</v>
      </c>
      <c r="Z5" s="11">
        <v>1</v>
      </c>
      <c r="AA5" s="12" t="s">
        <v>34</v>
      </c>
      <c r="AB5" s="12" t="s">
        <v>35</v>
      </c>
      <c r="AC5" s="13"/>
      <c r="AD5" s="12" t="s">
        <v>36</v>
      </c>
      <c r="AE5" s="12" t="s">
        <v>33</v>
      </c>
      <c r="AF5" s="12" t="s">
        <v>37</v>
      </c>
      <c r="AG5" s="13"/>
    </row>
    <row r="6" spans="1:33" ht="20" customHeight="1" x14ac:dyDescent="0.15">
      <c r="A6" s="9">
        <v>4</v>
      </c>
      <c r="B6" s="10">
        <v>0</v>
      </c>
      <c r="C6" s="11">
        <v>4</v>
      </c>
      <c r="D6" s="11">
        <v>0</v>
      </c>
      <c r="E6" s="12" t="s">
        <v>38</v>
      </c>
      <c r="F6" s="11">
        <v>1</v>
      </c>
      <c r="G6" s="11">
        <v>0.67172812501667101</v>
      </c>
      <c r="H6" s="12" t="s">
        <v>33</v>
      </c>
      <c r="I6" s="11">
        <v>4</v>
      </c>
      <c r="J6" s="11">
        <v>0</v>
      </c>
      <c r="K6" s="11">
        <v>4</v>
      </c>
      <c r="L6" s="11">
        <v>0</v>
      </c>
      <c r="M6" s="11">
        <v>7.6101158749661399</v>
      </c>
      <c r="N6" s="13"/>
      <c r="O6" s="11">
        <v>7.6062131669605204</v>
      </c>
      <c r="P6" s="11">
        <v>7.6101158749661399</v>
      </c>
      <c r="Q6" s="11">
        <v>8.6035926250042394</v>
      </c>
      <c r="R6" s="11">
        <v>8.6071332079591194</v>
      </c>
      <c r="S6" s="11">
        <v>9.2889497919823008</v>
      </c>
      <c r="T6" s="11">
        <v>0</v>
      </c>
      <c r="U6" s="12" t="s">
        <v>38</v>
      </c>
      <c r="V6" s="11">
        <v>1</v>
      </c>
      <c r="W6" s="11">
        <v>0.67172812501667101</v>
      </c>
      <c r="X6" s="12" t="s">
        <v>33</v>
      </c>
      <c r="Y6" s="11">
        <v>1</v>
      </c>
      <c r="Z6" s="11">
        <v>1</v>
      </c>
      <c r="AA6" s="12" t="s">
        <v>34</v>
      </c>
      <c r="AB6" s="12" t="s">
        <v>35</v>
      </c>
      <c r="AC6" s="13"/>
      <c r="AD6" s="12" t="s">
        <v>36</v>
      </c>
      <c r="AE6" s="12" t="s">
        <v>33</v>
      </c>
      <c r="AF6" s="12" t="s">
        <v>37</v>
      </c>
      <c r="AG6" s="13"/>
    </row>
    <row r="7" spans="1:33" ht="20" customHeight="1" x14ac:dyDescent="0.15">
      <c r="A7" s="9">
        <v>5</v>
      </c>
      <c r="B7" s="10">
        <v>0</v>
      </c>
      <c r="C7" s="11">
        <v>5</v>
      </c>
      <c r="D7" s="11">
        <v>-4</v>
      </c>
      <c r="E7" s="12" t="s">
        <v>38</v>
      </c>
      <c r="F7" s="11">
        <v>0</v>
      </c>
      <c r="G7" s="11">
        <v>1.04408683301881</v>
      </c>
      <c r="H7" s="12" t="s">
        <v>33</v>
      </c>
      <c r="I7" s="11">
        <v>5</v>
      </c>
      <c r="J7" s="11">
        <v>0</v>
      </c>
      <c r="K7" s="11">
        <v>5</v>
      </c>
      <c r="L7" s="11">
        <v>0</v>
      </c>
      <c r="M7" s="11">
        <v>9.2965268749976495</v>
      </c>
      <c r="N7" s="13"/>
      <c r="O7" s="11">
        <v>9.2894932499621099</v>
      </c>
      <c r="P7" s="11">
        <v>9.2965268749976495</v>
      </c>
      <c r="Q7" s="11">
        <v>10.286233291961301</v>
      </c>
      <c r="R7" s="11">
        <v>10.286233291961301</v>
      </c>
      <c r="S7" s="11">
        <v>11.3389260830008</v>
      </c>
      <c r="T7" s="11">
        <v>-4</v>
      </c>
      <c r="U7" s="12" t="s">
        <v>38</v>
      </c>
      <c r="V7" s="11">
        <v>0</v>
      </c>
      <c r="W7" s="11">
        <v>1.04408683301881</v>
      </c>
      <c r="X7" s="12" t="s">
        <v>33</v>
      </c>
      <c r="Y7" s="11">
        <v>1</v>
      </c>
      <c r="Z7" s="11">
        <v>1</v>
      </c>
      <c r="AA7" s="12" t="s">
        <v>34</v>
      </c>
      <c r="AB7" s="12" t="s">
        <v>35</v>
      </c>
      <c r="AC7" s="13"/>
      <c r="AD7" s="12" t="s">
        <v>36</v>
      </c>
      <c r="AE7" s="12" t="s">
        <v>33</v>
      </c>
      <c r="AF7" s="12" t="s">
        <v>37</v>
      </c>
      <c r="AG7" s="13"/>
    </row>
    <row r="8" spans="1:33" ht="20" customHeight="1" x14ac:dyDescent="0.15">
      <c r="A8" s="9">
        <v>6</v>
      </c>
      <c r="B8" s="10">
        <v>0</v>
      </c>
      <c r="C8" s="11">
        <v>6</v>
      </c>
      <c r="D8" s="11">
        <v>0</v>
      </c>
      <c r="E8" s="12" t="s">
        <v>32</v>
      </c>
      <c r="F8" s="11">
        <v>0</v>
      </c>
      <c r="G8" s="11">
        <v>0.66919087496353302</v>
      </c>
      <c r="H8" s="12" t="s">
        <v>33</v>
      </c>
      <c r="I8" s="11">
        <v>6</v>
      </c>
      <c r="J8" s="11">
        <v>0</v>
      </c>
      <c r="K8" s="11">
        <v>6</v>
      </c>
      <c r="L8" s="11">
        <v>0</v>
      </c>
      <c r="M8" s="11">
        <v>11.346848624991299</v>
      </c>
      <c r="N8" s="13"/>
      <c r="O8" s="11">
        <v>11.3394935829565</v>
      </c>
      <c r="P8" s="11">
        <v>11.346848624991299</v>
      </c>
      <c r="Q8" s="11">
        <v>12.3370295829955</v>
      </c>
      <c r="R8" s="11">
        <v>12.340542124991799</v>
      </c>
      <c r="S8" s="11">
        <v>13.008520041999899</v>
      </c>
      <c r="T8" s="11">
        <v>0</v>
      </c>
      <c r="U8" s="12" t="s">
        <v>32</v>
      </c>
      <c r="V8" s="11">
        <v>0</v>
      </c>
      <c r="W8" s="11">
        <v>0.66919087496353302</v>
      </c>
      <c r="X8" s="12" t="s">
        <v>33</v>
      </c>
      <c r="Y8" s="11">
        <v>1</v>
      </c>
      <c r="Z8" s="11">
        <v>1</v>
      </c>
      <c r="AA8" s="12" t="s">
        <v>34</v>
      </c>
      <c r="AB8" s="12" t="s">
        <v>35</v>
      </c>
      <c r="AC8" s="13"/>
      <c r="AD8" s="12" t="s">
        <v>36</v>
      </c>
      <c r="AE8" s="12" t="s">
        <v>33</v>
      </c>
      <c r="AF8" s="12" t="s">
        <v>37</v>
      </c>
      <c r="AG8" s="13"/>
    </row>
    <row r="9" spans="1:33" ht="20" customHeight="1" x14ac:dyDescent="0.15">
      <c r="A9" s="9">
        <v>7</v>
      </c>
      <c r="B9" s="10">
        <v>0</v>
      </c>
      <c r="C9" s="11">
        <v>7</v>
      </c>
      <c r="D9" s="11">
        <v>2</v>
      </c>
      <c r="E9" s="12" t="s">
        <v>32</v>
      </c>
      <c r="F9" s="11">
        <v>1</v>
      </c>
      <c r="G9" s="11">
        <v>1.0203328750212699</v>
      </c>
      <c r="H9" s="12" t="s">
        <v>33</v>
      </c>
      <c r="I9" s="11">
        <v>7</v>
      </c>
      <c r="J9" s="11">
        <v>0</v>
      </c>
      <c r="K9" s="11">
        <v>7</v>
      </c>
      <c r="L9" s="11">
        <v>0</v>
      </c>
      <c r="M9" s="11">
        <v>13.0202205419773</v>
      </c>
      <c r="N9" s="13"/>
      <c r="O9" s="11">
        <v>13.0089300419786</v>
      </c>
      <c r="P9" s="11">
        <v>13.0202205419773</v>
      </c>
      <c r="Q9" s="11">
        <v>14.007989749952699</v>
      </c>
      <c r="R9" s="11">
        <v>14.007989749952699</v>
      </c>
      <c r="S9" s="11">
        <v>15.0388441249961</v>
      </c>
      <c r="T9" s="11">
        <v>2</v>
      </c>
      <c r="U9" s="12" t="s">
        <v>32</v>
      </c>
      <c r="V9" s="11">
        <v>1</v>
      </c>
      <c r="W9" s="11">
        <v>1.0203328750212699</v>
      </c>
      <c r="X9" s="12" t="s">
        <v>33</v>
      </c>
      <c r="Y9" s="11">
        <v>1</v>
      </c>
      <c r="Z9" s="11">
        <v>1</v>
      </c>
      <c r="AA9" s="12" t="s">
        <v>34</v>
      </c>
      <c r="AB9" s="12" t="s">
        <v>35</v>
      </c>
      <c r="AC9" s="13"/>
      <c r="AD9" s="12" t="s">
        <v>36</v>
      </c>
      <c r="AE9" s="12" t="s">
        <v>33</v>
      </c>
      <c r="AF9" s="12" t="s">
        <v>37</v>
      </c>
      <c r="AG9" s="13"/>
    </row>
    <row r="10" spans="1:33" ht="20" customHeight="1" x14ac:dyDescent="0.15">
      <c r="A10" s="9">
        <v>8</v>
      </c>
      <c r="B10" s="10">
        <v>0</v>
      </c>
      <c r="C10" s="11">
        <v>8</v>
      </c>
      <c r="D10" s="11">
        <v>2</v>
      </c>
      <c r="E10" s="12" t="s">
        <v>32</v>
      </c>
      <c r="F10" s="11">
        <v>1</v>
      </c>
      <c r="G10" s="11">
        <v>0.716267083014827</v>
      </c>
      <c r="H10" s="12" t="s">
        <v>33</v>
      </c>
      <c r="I10" s="11">
        <v>8</v>
      </c>
      <c r="J10" s="11">
        <v>0</v>
      </c>
      <c r="K10" s="11">
        <v>8</v>
      </c>
      <c r="L10" s="11">
        <v>0</v>
      </c>
      <c r="M10" s="11">
        <v>15.0468143749749</v>
      </c>
      <c r="N10" s="13"/>
      <c r="O10" s="11">
        <v>15.0394702499616</v>
      </c>
      <c r="P10" s="11">
        <v>15.0468143749749</v>
      </c>
      <c r="Q10" s="11">
        <v>16.0369250419899</v>
      </c>
      <c r="R10" s="11">
        <v>16.040595332975499</v>
      </c>
      <c r="S10" s="11">
        <v>16.7554533749935</v>
      </c>
      <c r="T10" s="11">
        <v>2</v>
      </c>
      <c r="U10" s="12" t="s">
        <v>32</v>
      </c>
      <c r="V10" s="11">
        <v>1</v>
      </c>
      <c r="W10" s="11">
        <v>0.716267083014827</v>
      </c>
      <c r="X10" s="12" t="s">
        <v>33</v>
      </c>
      <c r="Y10" s="11">
        <v>1</v>
      </c>
      <c r="Z10" s="11">
        <v>1</v>
      </c>
      <c r="AA10" s="12" t="s">
        <v>34</v>
      </c>
      <c r="AB10" s="12" t="s">
        <v>35</v>
      </c>
      <c r="AC10" s="13"/>
      <c r="AD10" s="12" t="s">
        <v>36</v>
      </c>
      <c r="AE10" s="12" t="s">
        <v>33</v>
      </c>
      <c r="AF10" s="12" t="s">
        <v>37</v>
      </c>
      <c r="AG10" s="13"/>
    </row>
    <row r="11" spans="1:33" ht="20" customHeight="1" x14ac:dyDescent="0.15">
      <c r="A11" s="9">
        <v>9</v>
      </c>
      <c r="B11" s="10">
        <v>0</v>
      </c>
      <c r="C11" s="11">
        <v>9</v>
      </c>
      <c r="D11" s="11">
        <v>0</v>
      </c>
      <c r="E11" s="12" t="s">
        <v>32</v>
      </c>
      <c r="F11" s="11">
        <v>0</v>
      </c>
      <c r="G11" s="11">
        <v>0.71755116601707403</v>
      </c>
      <c r="H11" s="12" t="s">
        <v>33</v>
      </c>
      <c r="I11" s="11">
        <v>9</v>
      </c>
      <c r="J11" s="11">
        <v>0</v>
      </c>
      <c r="K11" s="11">
        <v>9</v>
      </c>
      <c r="L11" s="11">
        <v>0</v>
      </c>
      <c r="M11" s="11">
        <v>16.759645041951401</v>
      </c>
      <c r="N11" s="13"/>
      <c r="O11" s="11">
        <v>16.755950374994399</v>
      </c>
      <c r="P11" s="11">
        <v>16.759645041951401</v>
      </c>
      <c r="Q11" s="11">
        <v>17.753607374965199</v>
      </c>
      <c r="R11" s="11">
        <v>17.7572926249704</v>
      </c>
      <c r="S11" s="11">
        <v>18.4744654169772</v>
      </c>
      <c r="T11" s="11">
        <v>0</v>
      </c>
      <c r="U11" s="12" t="s">
        <v>32</v>
      </c>
      <c r="V11" s="11">
        <v>0</v>
      </c>
      <c r="W11" s="11">
        <v>0.71755116601707403</v>
      </c>
      <c r="X11" s="12" t="s">
        <v>33</v>
      </c>
      <c r="Y11" s="11">
        <v>1</v>
      </c>
      <c r="Z11" s="11">
        <v>1</v>
      </c>
      <c r="AA11" s="12" t="s">
        <v>34</v>
      </c>
      <c r="AB11" s="12" t="s">
        <v>35</v>
      </c>
      <c r="AC11" s="13"/>
      <c r="AD11" s="12" t="s">
        <v>36</v>
      </c>
      <c r="AE11" s="12" t="s">
        <v>33</v>
      </c>
      <c r="AF11" s="12" t="s">
        <v>37</v>
      </c>
      <c r="AG11" s="13"/>
    </row>
    <row r="12" spans="1:33" ht="20" customHeight="1" x14ac:dyDescent="0.15">
      <c r="A12" s="9">
        <v>10</v>
      </c>
      <c r="B12" s="10">
        <v>0</v>
      </c>
      <c r="C12" s="11">
        <v>10</v>
      </c>
      <c r="D12" s="11">
        <v>-3</v>
      </c>
      <c r="E12" s="12" t="s">
        <v>38</v>
      </c>
      <c r="F12" s="11">
        <v>0</v>
      </c>
      <c r="G12" s="11">
        <v>0.70791404100600597</v>
      </c>
      <c r="H12" s="12" t="s">
        <v>33</v>
      </c>
      <c r="I12" s="11">
        <v>10</v>
      </c>
      <c r="J12" s="11">
        <v>0</v>
      </c>
      <c r="K12" s="11">
        <v>10</v>
      </c>
      <c r="L12" s="11">
        <v>0</v>
      </c>
      <c r="M12" s="11">
        <v>18.487005874980198</v>
      </c>
      <c r="N12" s="13"/>
      <c r="O12" s="11">
        <v>18.4749266669969</v>
      </c>
      <c r="P12" s="11">
        <v>18.487005874980198</v>
      </c>
      <c r="Q12" s="11">
        <v>19.470298249972998</v>
      </c>
      <c r="R12" s="11">
        <v>19.4739652919816</v>
      </c>
      <c r="S12" s="11">
        <v>20.1888865829678</v>
      </c>
      <c r="T12" s="11">
        <v>-3</v>
      </c>
      <c r="U12" s="12" t="s">
        <v>38</v>
      </c>
      <c r="V12" s="11">
        <v>0</v>
      </c>
      <c r="W12" s="11">
        <v>0.70791404100600597</v>
      </c>
      <c r="X12" s="12" t="s">
        <v>33</v>
      </c>
      <c r="Y12" s="11">
        <v>1</v>
      </c>
      <c r="Z12" s="11">
        <v>1</v>
      </c>
      <c r="AA12" s="12" t="s">
        <v>34</v>
      </c>
      <c r="AB12" s="12" t="s">
        <v>35</v>
      </c>
      <c r="AC12" s="13"/>
      <c r="AD12" s="12" t="s">
        <v>36</v>
      </c>
      <c r="AE12" s="12" t="s">
        <v>33</v>
      </c>
      <c r="AF12" s="12" t="s">
        <v>37</v>
      </c>
      <c r="AG12" s="13"/>
    </row>
    <row r="13" spans="1:33" ht="20" customHeight="1" x14ac:dyDescent="0.15">
      <c r="A13" s="9">
        <v>11</v>
      </c>
      <c r="B13" s="10">
        <v>0</v>
      </c>
      <c r="C13" s="11">
        <v>11</v>
      </c>
      <c r="D13" s="11">
        <v>-5</v>
      </c>
      <c r="E13" s="12" t="s">
        <v>32</v>
      </c>
      <c r="F13" s="11">
        <v>1</v>
      </c>
      <c r="G13" s="11">
        <v>0.83919237501686395</v>
      </c>
      <c r="H13" s="12" t="s">
        <v>33</v>
      </c>
      <c r="I13" s="11">
        <v>11</v>
      </c>
      <c r="J13" s="11">
        <v>0</v>
      </c>
      <c r="K13" s="11">
        <v>11</v>
      </c>
      <c r="L13" s="11">
        <v>0</v>
      </c>
      <c r="M13" s="11">
        <v>20.197088499961001</v>
      </c>
      <c r="N13" s="13"/>
      <c r="O13" s="11">
        <v>20.189663333003399</v>
      </c>
      <c r="P13" s="11">
        <v>20.197088499961001</v>
      </c>
      <c r="Q13" s="11">
        <v>21.186834332998799</v>
      </c>
      <c r="R13" s="11">
        <v>21.1904645829927</v>
      </c>
      <c r="S13" s="11">
        <v>22.038866166956701</v>
      </c>
      <c r="T13" s="11">
        <v>-5</v>
      </c>
      <c r="U13" s="12" t="s">
        <v>32</v>
      </c>
      <c r="V13" s="11">
        <v>1</v>
      </c>
      <c r="W13" s="11">
        <v>0.83919237501686395</v>
      </c>
      <c r="X13" s="12" t="s">
        <v>33</v>
      </c>
      <c r="Y13" s="11">
        <v>1</v>
      </c>
      <c r="Z13" s="11">
        <v>1</v>
      </c>
      <c r="AA13" s="12" t="s">
        <v>34</v>
      </c>
      <c r="AB13" s="12" t="s">
        <v>35</v>
      </c>
      <c r="AC13" s="13"/>
      <c r="AD13" s="12" t="s">
        <v>36</v>
      </c>
      <c r="AE13" s="12" t="s">
        <v>33</v>
      </c>
      <c r="AF13" s="12" t="s">
        <v>37</v>
      </c>
      <c r="AG13" s="13"/>
    </row>
    <row r="14" spans="1:33" ht="20" customHeight="1" x14ac:dyDescent="0.15">
      <c r="A14" s="9">
        <v>12</v>
      </c>
      <c r="B14" s="10">
        <v>0</v>
      </c>
      <c r="C14" s="11">
        <v>12</v>
      </c>
      <c r="D14" s="11">
        <v>-3</v>
      </c>
      <c r="E14" s="12" t="s">
        <v>32</v>
      </c>
      <c r="F14" s="11">
        <v>1</v>
      </c>
      <c r="G14" s="11">
        <v>0.84515337500488397</v>
      </c>
      <c r="H14" s="12" t="s">
        <v>33</v>
      </c>
      <c r="I14" s="11">
        <v>12</v>
      </c>
      <c r="J14" s="11">
        <v>0</v>
      </c>
      <c r="K14" s="11">
        <v>12</v>
      </c>
      <c r="L14" s="11">
        <v>0</v>
      </c>
      <c r="M14" s="11">
        <v>22.0469038329902</v>
      </c>
      <c r="N14" s="13"/>
      <c r="O14" s="11">
        <v>22.0394727499806</v>
      </c>
      <c r="P14" s="11">
        <v>22.0469038329902</v>
      </c>
      <c r="Q14" s="11">
        <v>23.0369852079893</v>
      </c>
      <c r="R14" s="11">
        <v>23.040508041973201</v>
      </c>
      <c r="S14" s="11">
        <v>23.889221124991298</v>
      </c>
      <c r="T14" s="11">
        <v>-3</v>
      </c>
      <c r="U14" s="12" t="s">
        <v>32</v>
      </c>
      <c r="V14" s="11">
        <v>1</v>
      </c>
      <c r="W14" s="11">
        <v>0.84515337500488397</v>
      </c>
      <c r="X14" s="12" t="s">
        <v>33</v>
      </c>
      <c r="Y14" s="11">
        <v>1</v>
      </c>
      <c r="Z14" s="11">
        <v>1</v>
      </c>
      <c r="AA14" s="12" t="s">
        <v>34</v>
      </c>
      <c r="AB14" s="12" t="s">
        <v>35</v>
      </c>
      <c r="AC14" s="13"/>
      <c r="AD14" s="12" t="s">
        <v>36</v>
      </c>
      <c r="AE14" s="12" t="s">
        <v>33</v>
      </c>
      <c r="AF14" s="12" t="s">
        <v>37</v>
      </c>
      <c r="AG14" s="13"/>
    </row>
    <row r="15" spans="1:33" ht="20" customHeight="1" x14ac:dyDescent="0.15">
      <c r="A15" s="9">
        <v>13</v>
      </c>
      <c r="B15" s="10">
        <v>0</v>
      </c>
      <c r="C15" s="11">
        <v>13</v>
      </c>
      <c r="D15" s="11">
        <v>4</v>
      </c>
      <c r="E15" s="12" t="s">
        <v>32</v>
      </c>
      <c r="F15" s="11">
        <v>1</v>
      </c>
      <c r="G15" s="11">
        <v>0.82513179100351397</v>
      </c>
      <c r="H15" s="12" t="s">
        <v>33</v>
      </c>
      <c r="I15" s="11">
        <v>13</v>
      </c>
      <c r="J15" s="11">
        <v>0</v>
      </c>
      <c r="K15" s="11">
        <v>13</v>
      </c>
      <c r="L15" s="11">
        <v>0</v>
      </c>
      <c r="M15" s="11">
        <v>23.897836832969901</v>
      </c>
      <c r="N15" s="13"/>
      <c r="O15" s="11">
        <v>23.889868166996202</v>
      </c>
      <c r="P15" s="11">
        <v>23.897836832969901</v>
      </c>
      <c r="Q15" s="11">
        <v>24.8869623749633</v>
      </c>
      <c r="R15" s="11">
        <v>24.890459541988101</v>
      </c>
      <c r="S15" s="11">
        <v>25.722144291968998</v>
      </c>
      <c r="T15" s="11">
        <v>4</v>
      </c>
      <c r="U15" s="12" t="s">
        <v>32</v>
      </c>
      <c r="V15" s="11">
        <v>1</v>
      </c>
      <c r="W15" s="11">
        <v>0.82513179100351397</v>
      </c>
      <c r="X15" s="12" t="s">
        <v>33</v>
      </c>
      <c r="Y15" s="11">
        <v>1</v>
      </c>
      <c r="Z15" s="11">
        <v>1</v>
      </c>
      <c r="AA15" s="12" t="s">
        <v>34</v>
      </c>
      <c r="AB15" s="12" t="s">
        <v>35</v>
      </c>
      <c r="AC15" s="13"/>
      <c r="AD15" s="12" t="s">
        <v>36</v>
      </c>
      <c r="AE15" s="12" t="s">
        <v>33</v>
      </c>
      <c r="AF15" s="12" t="s">
        <v>37</v>
      </c>
      <c r="AG15" s="13"/>
    </row>
    <row r="16" spans="1:33" ht="20" customHeight="1" x14ac:dyDescent="0.15">
      <c r="A16" s="9">
        <v>14</v>
      </c>
      <c r="B16" s="10">
        <v>0</v>
      </c>
      <c r="C16" s="11">
        <v>14</v>
      </c>
      <c r="D16" s="11">
        <v>0</v>
      </c>
      <c r="E16" s="12" t="s">
        <v>32</v>
      </c>
      <c r="F16" s="11">
        <v>0</v>
      </c>
      <c r="G16" s="11">
        <v>0.86155404197052099</v>
      </c>
      <c r="H16" s="12" t="s">
        <v>33</v>
      </c>
      <c r="I16" s="11">
        <v>14</v>
      </c>
      <c r="J16" s="11">
        <v>0</v>
      </c>
      <c r="K16" s="11">
        <v>14</v>
      </c>
      <c r="L16" s="11">
        <v>0</v>
      </c>
      <c r="M16" s="11">
        <v>25.730006749974599</v>
      </c>
      <c r="N16" s="13"/>
      <c r="O16" s="11">
        <v>25.7227064169711</v>
      </c>
      <c r="P16" s="11">
        <v>25.730006749974599</v>
      </c>
      <c r="Q16" s="11">
        <v>26.720401041966401</v>
      </c>
      <c r="R16" s="11">
        <v>26.723857791977899</v>
      </c>
      <c r="S16" s="11">
        <v>27.588826791965399</v>
      </c>
      <c r="T16" s="11">
        <v>0</v>
      </c>
      <c r="U16" s="12" t="s">
        <v>32</v>
      </c>
      <c r="V16" s="11">
        <v>0</v>
      </c>
      <c r="W16" s="11">
        <v>0.86155404197052099</v>
      </c>
      <c r="X16" s="12" t="s">
        <v>33</v>
      </c>
      <c r="Y16" s="11">
        <v>1</v>
      </c>
      <c r="Z16" s="11">
        <v>1</v>
      </c>
      <c r="AA16" s="12" t="s">
        <v>34</v>
      </c>
      <c r="AB16" s="12" t="s">
        <v>35</v>
      </c>
      <c r="AC16" s="13"/>
      <c r="AD16" s="12" t="s">
        <v>36</v>
      </c>
      <c r="AE16" s="12" t="s">
        <v>33</v>
      </c>
      <c r="AF16" s="12" t="s">
        <v>37</v>
      </c>
      <c r="AG16" s="13"/>
    </row>
    <row r="17" spans="1:33" ht="20" customHeight="1" x14ac:dyDescent="0.15">
      <c r="A17" s="9">
        <v>15</v>
      </c>
      <c r="B17" s="10">
        <v>0</v>
      </c>
      <c r="C17" s="11">
        <v>15</v>
      </c>
      <c r="D17" s="11">
        <v>0</v>
      </c>
      <c r="E17" s="12" t="s">
        <v>32</v>
      </c>
      <c r="F17" s="11">
        <v>0</v>
      </c>
      <c r="G17" s="11">
        <v>0.65593729098327502</v>
      </c>
      <c r="H17" s="12" t="s">
        <v>33</v>
      </c>
      <c r="I17" s="11">
        <v>15</v>
      </c>
      <c r="J17" s="11">
        <v>0</v>
      </c>
      <c r="K17" s="11">
        <v>15</v>
      </c>
      <c r="L17" s="11">
        <v>0</v>
      </c>
      <c r="M17" s="11">
        <v>27.596950499981201</v>
      </c>
      <c r="N17" s="13"/>
      <c r="O17" s="11">
        <v>27.5893604169833</v>
      </c>
      <c r="P17" s="11">
        <v>27.596950499981201</v>
      </c>
      <c r="Q17" s="11">
        <v>28.586891624960099</v>
      </c>
      <c r="R17" s="11">
        <v>28.5907515419531</v>
      </c>
      <c r="S17" s="11">
        <v>29.255535791977302</v>
      </c>
      <c r="T17" s="11">
        <v>0</v>
      </c>
      <c r="U17" s="12" t="s">
        <v>32</v>
      </c>
      <c r="V17" s="11">
        <v>0</v>
      </c>
      <c r="W17" s="11">
        <v>0.65593729098327502</v>
      </c>
      <c r="X17" s="12" t="s">
        <v>33</v>
      </c>
      <c r="Y17" s="11">
        <v>1</v>
      </c>
      <c r="Z17" s="11">
        <v>1</v>
      </c>
      <c r="AA17" s="12" t="s">
        <v>34</v>
      </c>
      <c r="AB17" s="12" t="s">
        <v>35</v>
      </c>
      <c r="AC17" s="13"/>
      <c r="AD17" s="12" t="s">
        <v>36</v>
      </c>
      <c r="AE17" s="12" t="s">
        <v>33</v>
      </c>
      <c r="AF17" s="12" t="s">
        <v>37</v>
      </c>
      <c r="AG17" s="13"/>
    </row>
    <row r="18" spans="1:33" ht="20" customHeight="1" x14ac:dyDescent="0.15">
      <c r="A18" s="9">
        <v>16</v>
      </c>
      <c r="B18" s="10">
        <v>0</v>
      </c>
      <c r="C18" s="11">
        <v>16</v>
      </c>
      <c r="D18" s="11">
        <v>-2</v>
      </c>
      <c r="E18" s="12" t="s">
        <v>38</v>
      </c>
      <c r="F18" s="11">
        <v>0</v>
      </c>
      <c r="G18" s="11">
        <v>0.52317220799159303</v>
      </c>
      <c r="H18" s="12" t="s">
        <v>33</v>
      </c>
      <c r="I18" s="11">
        <v>16</v>
      </c>
      <c r="J18" s="11">
        <v>0</v>
      </c>
      <c r="K18" s="11">
        <v>16</v>
      </c>
      <c r="L18" s="11">
        <v>0</v>
      </c>
      <c r="M18" s="11">
        <v>29.2634564169566</v>
      </c>
      <c r="N18" s="13"/>
      <c r="O18" s="11">
        <v>29.256131000001901</v>
      </c>
      <c r="P18" s="11">
        <v>29.2634564169566</v>
      </c>
      <c r="Q18" s="11">
        <v>30.253718999971198</v>
      </c>
      <c r="R18" s="11">
        <v>30.257249957998301</v>
      </c>
      <c r="S18" s="11">
        <v>30.788363375002501</v>
      </c>
      <c r="T18" s="11">
        <v>-2</v>
      </c>
      <c r="U18" s="12" t="s">
        <v>38</v>
      </c>
      <c r="V18" s="11">
        <v>0</v>
      </c>
      <c r="W18" s="11">
        <v>0.52317220799159303</v>
      </c>
      <c r="X18" s="12" t="s">
        <v>33</v>
      </c>
      <c r="Y18" s="11">
        <v>1</v>
      </c>
      <c r="Z18" s="11">
        <v>1</v>
      </c>
      <c r="AA18" s="12" t="s">
        <v>34</v>
      </c>
      <c r="AB18" s="12" t="s">
        <v>35</v>
      </c>
      <c r="AC18" s="13"/>
      <c r="AD18" s="12" t="s">
        <v>36</v>
      </c>
      <c r="AE18" s="12" t="s">
        <v>33</v>
      </c>
      <c r="AF18" s="12" t="s">
        <v>37</v>
      </c>
      <c r="AG18" s="13"/>
    </row>
    <row r="19" spans="1:33" ht="20" customHeight="1" x14ac:dyDescent="0.15">
      <c r="A19" s="9">
        <v>17</v>
      </c>
      <c r="B19" s="10">
        <v>0</v>
      </c>
      <c r="C19" s="11">
        <v>17</v>
      </c>
      <c r="D19" s="11">
        <v>-2</v>
      </c>
      <c r="E19" s="12" t="s">
        <v>38</v>
      </c>
      <c r="F19" s="11">
        <v>0</v>
      </c>
      <c r="G19" s="11">
        <v>0.57903545798035305</v>
      </c>
      <c r="H19" s="12" t="s">
        <v>33</v>
      </c>
      <c r="I19" s="11">
        <v>17</v>
      </c>
      <c r="J19" s="11">
        <v>0</v>
      </c>
      <c r="K19" s="11">
        <v>17</v>
      </c>
      <c r="L19" s="11">
        <v>0</v>
      </c>
      <c r="M19" s="11">
        <v>30.795959291979699</v>
      </c>
      <c r="N19" s="13"/>
      <c r="O19" s="11">
        <v>30.788836708001298</v>
      </c>
      <c r="P19" s="11">
        <v>30.795959291979699</v>
      </c>
      <c r="Q19" s="11">
        <v>31.7869127079612</v>
      </c>
      <c r="R19" s="11">
        <v>31.790358082973398</v>
      </c>
      <c r="S19" s="11">
        <v>32.372104499954702</v>
      </c>
      <c r="T19" s="11">
        <v>-2</v>
      </c>
      <c r="U19" s="12" t="s">
        <v>38</v>
      </c>
      <c r="V19" s="11">
        <v>0</v>
      </c>
      <c r="W19" s="11">
        <v>0.57903545798035305</v>
      </c>
      <c r="X19" s="12" t="s">
        <v>33</v>
      </c>
      <c r="Y19" s="11">
        <v>1</v>
      </c>
      <c r="Z19" s="11">
        <v>1</v>
      </c>
      <c r="AA19" s="12" t="s">
        <v>34</v>
      </c>
      <c r="AB19" s="12" t="s">
        <v>35</v>
      </c>
      <c r="AC19" s="13"/>
      <c r="AD19" s="12" t="s">
        <v>36</v>
      </c>
      <c r="AE19" s="12" t="s">
        <v>33</v>
      </c>
      <c r="AF19" s="12" t="s">
        <v>37</v>
      </c>
      <c r="AG19" s="13"/>
    </row>
    <row r="20" spans="1:33" ht="20" customHeight="1" x14ac:dyDescent="0.15">
      <c r="A20" s="9">
        <v>18</v>
      </c>
      <c r="B20" s="10">
        <v>0</v>
      </c>
      <c r="C20" s="11">
        <v>18</v>
      </c>
      <c r="D20" s="11">
        <v>0</v>
      </c>
      <c r="E20" s="12" t="s">
        <v>32</v>
      </c>
      <c r="F20" s="11">
        <v>0</v>
      </c>
      <c r="G20" s="11">
        <v>0.59651133301667902</v>
      </c>
      <c r="H20" s="12" t="s">
        <v>33</v>
      </c>
      <c r="I20" s="11">
        <v>18</v>
      </c>
      <c r="J20" s="11">
        <v>0</v>
      </c>
      <c r="K20" s="11">
        <v>18</v>
      </c>
      <c r="L20" s="11">
        <v>0</v>
      </c>
      <c r="M20" s="11">
        <v>32.380140916968202</v>
      </c>
      <c r="N20" s="13"/>
      <c r="O20" s="11">
        <v>32.3726063329959</v>
      </c>
      <c r="P20" s="11">
        <v>32.380140916968202</v>
      </c>
      <c r="Q20" s="11">
        <v>33.370315999956802</v>
      </c>
      <c r="R20" s="11">
        <v>33.374563833000103</v>
      </c>
      <c r="S20" s="11">
        <v>33.972075541969403</v>
      </c>
      <c r="T20" s="11">
        <v>0</v>
      </c>
      <c r="U20" s="12" t="s">
        <v>32</v>
      </c>
      <c r="V20" s="11">
        <v>0</v>
      </c>
      <c r="W20" s="11">
        <v>0.59651133301667902</v>
      </c>
      <c r="X20" s="12" t="s">
        <v>33</v>
      </c>
      <c r="Y20" s="11">
        <v>1</v>
      </c>
      <c r="Z20" s="11">
        <v>1</v>
      </c>
      <c r="AA20" s="12" t="s">
        <v>34</v>
      </c>
      <c r="AB20" s="12" t="s">
        <v>35</v>
      </c>
      <c r="AC20" s="13"/>
      <c r="AD20" s="12" t="s">
        <v>36</v>
      </c>
      <c r="AE20" s="12" t="s">
        <v>33</v>
      </c>
      <c r="AF20" s="12" t="s">
        <v>37</v>
      </c>
      <c r="AG20" s="13"/>
    </row>
    <row r="21" spans="1:33" ht="20" customHeight="1" x14ac:dyDescent="0.15">
      <c r="A21" s="9">
        <v>19</v>
      </c>
      <c r="B21" s="10">
        <v>0</v>
      </c>
      <c r="C21" s="11">
        <v>19</v>
      </c>
      <c r="D21" s="11">
        <v>0</v>
      </c>
      <c r="E21" s="12" t="s">
        <v>32</v>
      </c>
      <c r="F21" s="11">
        <v>0</v>
      </c>
      <c r="G21" s="11">
        <v>0.73753633297747001</v>
      </c>
      <c r="H21" s="12" t="s">
        <v>33</v>
      </c>
      <c r="I21" s="11">
        <v>19</v>
      </c>
      <c r="J21" s="11">
        <v>0</v>
      </c>
      <c r="K21" s="11">
        <v>19</v>
      </c>
      <c r="L21" s="11">
        <v>0</v>
      </c>
      <c r="M21" s="11">
        <v>33.979902624967501</v>
      </c>
      <c r="N21" s="13"/>
      <c r="O21" s="11">
        <v>33.972582416958197</v>
      </c>
      <c r="P21" s="11">
        <v>33.979902624967501</v>
      </c>
      <c r="Q21" s="11">
        <v>34.970228874997701</v>
      </c>
      <c r="R21" s="11">
        <v>34.973752874997402</v>
      </c>
      <c r="S21" s="11">
        <v>35.722085374989597</v>
      </c>
      <c r="T21" s="11">
        <v>0</v>
      </c>
      <c r="U21" s="12" t="s">
        <v>32</v>
      </c>
      <c r="V21" s="11">
        <v>0</v>
      </c>
      <c r="W21" s="11">
        <v>0.73753633297747001</v>
      </c>
      <c r="X21" s="12" t="s">
        <v>33</v>
      </c>
      <c r="Y21" s="11">
        <v>1</v>
      </c>
      <c r="Z21" s="11">
        <v>1</v>
      </c>
      <c r="AA21" s="12" t="s">
        <v>34</v>
      </c>
      <c r="AB21" s="12" t="s">
        <v>35</v>
      </c>
      <c r="AC21" s="13"/>
      <c r="AD21" s="12" t="s">
        <v>36</v>
      </c>
      <c r="AE21" s="12" t="s">
        <v>33</v>
      </c>
      <c r="AF21" s="12" t="s">
        <v>37</v>
      </c>
      <c r="AG21" s="13"/>
    </row>
    <row r="22" spans="1:33" ht="20" customHeight="1" x14ac:dyDescent="0.15">
      <c r="A22" s="9">
        <v>20</v>
      </c>
      <c r="B22" s="10">
        <v>0</v>
      </c>
      <c r="C22" s="11">
        <v>20</v>
      </c>
      <c r="D22" s="11">
        <v>0</v>
      </c>
      <c r="E22" s="12" t="s">
        <v>32</v>
      </c>
      <c r="F22" s="11">
        <v>0</v>
      </c>
      <c r="G22" s="11">
        <v>0.89152195799397305</v>
      </c>
      <c r="H22" s="12" t="s">
        <v>33</v>
      </c>
      <c r="I22" s="11">
        <v>20</v>
      </c>
      <c r="J22" s="11">
        <v>0</v>
      </c>
      <c r="K22" s="11">
        <v>20</v>
      </c>
      <c r="L22" s="11">
        <v>0</v>
      </c>
      <c r="M22" s="11">
        <v>35.729790707991903</v>
      </c>
      <c r="N22" s="13"/>
      <c r="O22" s="11">
        <v>35.722591041994797</v>
      </c>
      <c r="P22" s="11">
        <v>35.729790707991903</v>
      </c>
      <c r="Q22" s="11">
        <v>36.720159416960101</v>
      </c>
      <c r="R22" s="11">
        <v>36.723709707963302</v>
      </c>
      <c r="S22" s="11">
        <v>37.622139957966297</v>
      </c>
      <c r="T22" s="11">
        <v>0</v>
      </c>
      <c r="U22" s="12" t="s">
        <v>32</v>
      </c>
      <c r="V22" s="11">
        <v>0</v>
      </c>
      <c r="W22" s="11">
        <v>0.89152195799397305</v>
      </c>
      <c r="X22" s="12" t="s">
        <v>33</v>
      </c>
      <c r="Y22" s="11">
        <v>1</v>
      </c>
      <c r="Z22" s="11">
        <v>1</v>
      </c>
      <c r="AA22" s="12" t="s">
        <v>34</v>
      </c>
      <c r="AB22" s="12" t="s">
        <v>35</v>
      </c>
      <c r="AC22" s="13"/>
      <c r="AD22" s="12" t="s">
        <v>36</v>
      </c>
      <c r="AE22" s="12" t="s">
        <v>33</v>
      </c>
      <c r="AF22" s="12" t="s">
        <v>37</v>
      </c>
      <c r="AG22" s="13"/>
    </row>
    <row r="23" spans="1:33" ht="20" customHeight="1" x14ac:dyDescent="0.15">
      <c r="A23" s="9">
        <v>21</v>
      </c>
      <c r="B23" s="10">
        <v>0</v>
      </c>
      <c r="C23" s="11">
        <v>21</v>
      </c>
      <c r="D23" s="11">
        <v>0</v>
      </c>
      <c r="E23" s="12" t="s">
        <v>38</v>
      </c>
      <c r="F23" s="11">
        <v>1</v>
      </c>
      <c r="G23" s="11">
        <v>0.77328737499192401</v>
      </c>
      <c r="H23" s="12" t="s">
        <v>33</v>
      </c>
      <c r="I23" s="11">
        <v>21</v>
      </c>
      <c r="J23" s="11">
        <v>0</v>
      </c>
      <c r="K23" s="11">
        <v>21</v>
      </c>
      <c r="L23" s="11">
        <v>0</v>
      </c>
      <c r="M23" s="11">
        <v>37.630083541967899</v>
      </c>
      <c r="N23" s="13"/>
      <c r="O23" s="11">
        <v>37.622678541985799</v>
      </c>
      <c r="P23" s="11">
        <v>37.630083541967899</v>
      </c>
      <c r="Q23" s="11">
        <v>38.620300041977302</v>
      </c>
      <c r="R23" s="11">
        <v>38.624452874995796</v>
      </c>
      <c r="S23" s="11">
        <v>39.405125582998203</v>
      </c>
      <c r="T23" s="11">
        <v>0</v>
      </c>
      <c r="U23" s="12" t="s">
        <v>38</v>
      </c>
      <c r="V23" s="11">
        <v>1</v>
      </c>
      <c r="W23" s="11">
        <v>0.77328737499192401</v>
      </c>
      <c r="X23" s="12" t="s">
        <v>33</v>
      </c>
      <c r="Y23" s="11">
        <v>1</v>
      </c>
      <c r="Z23" s="11">
        <v>1</v>
      </c>
      <c r="AA23" s="12" t="s">
        <v>34</v>
      </c>
      <c r="AB23" s="12" t="s">
        <v>35</v>
      </c>
      <c r="AC23" s="13"/>
      <c r="AD23" s="12" t="s">
        <v>36</v>
      </c>
      <c r="AE23" s="12" t="s">
        <v>33</v>
      </c>
      <c r="AF23" s="12" t="s">
        <v>37</v>
      </c>
      <c r="AG23" s="13"/>
    </row>
    <row r="24" spans="1:33" ht="20" customHeight="1" x14ac:dyDescent="0.15">
      <c r="A24" s="9">
        <v>22</v>
      </c>
      <c r="B24" s="10">
        <v>0</v>
      </c>
      <c r="C24" s="11">
        <v>22</v>
      </c>
      <c r="D24" s="11">
        <v>-2</v>
      </c>
      <c r="E24" s="12" t="s">
        <v>38</v>
      </c>
      <c r="F24" s="11">
        <v>0</v>
      </c>
      <c r="G24" s="11">
        <v>0.61313745798543096</v>
      </c>
      <c r="H24" s="12" t="s">
        <v>33</v>
      </c>
      <c r="I24" s="11">
        <v>22</v>
      </c>
      <c r="J24" s="11">
        <v>0</v>
      </c>
      <c r="K24" s="11">
        <v>22</v>
      </c>
      <c r="L24" s="11">
        <v>0</v>
      </c>
      <c r="M24" s="11">
        <v>39.412656041968198</v>
      </c>
      <c r="N24" s="13"/>
      <c r="O24" s="11">
        <v>39.405599999998202</v>
      </c>
      <c r="P24" s="11">
        <v>39.412656041968198</v>
      </c>
      <c r="Q24" s="11">
        <v>40.403570957947501</v>
      </c>
      <c r="R24" s="11">
        <v>40.4071812919574</v>
      </c>
      <c r="S24" s="11">
        <v>41.022163041983703</v>
      </c>
      <c r="T24" s="11">
        <v>-2</v>
      </c>
      <c r="U24" s="12" t="s">
        <v>38</v>
      </c>
      <c r="V24" s="11">
        <v>0</v>
      </c>
      <c r="W24" s="11">
        <v>0.61313745798543096</v>
      </c>
      <c r="X24" s="12" t="s">
        <v>33</v>
      </c>
      <c r="Y24" s="11">
        <v>1</v>
      </c>
      <c r="Z24" s="11">
        <v>1</v>
      </c>
      <c r="AA24" s="12" t="s">
        <v>34</v>
      </c>
      <c r="AB24" s="12" t="s">
        <v>35</v>
      </c>
      <c r="AC24" s="13"/>
      <c r="AD24" s="12" t="s">
        <v>36</v>
      </c>
      <c r="AE24" s="12" t="s">
        <v>33</v>
      </c>
      <c r="AF24" s="12" t="s">
        <v>37</v>
      </c>
      <c r="AG24" s="13"/>
    </row>
    <row r="25" spans="1:33" ht="20" customHeight="1" x14ac:dyDescent="0.15">
      <c r="A25" s="9">
        <v>23</v>
      </c>
      <c r="B25" s="10">
        <v>0</v>
      </c>
      <c r="C25" s="11">
        <v>23</v>
      </c>
      <c r="D25" s="11">
        <v>0</v>
      </c>
      <c r="E25" s="12" t="s">
        <v>32</v>
      </c>
      <c r="F25" s="11">
        <v>0</v>
      </c>
      <c r="G25" s="11">
        <v>0.65641954098828104</v>
      </c>
      <c r="H25" s="12" t="s">
        <v>33</v>
      </c>
      <c r="I25" s="11">
        <v>23</v>
      </c>
      <c r="J25" s="11">
        <v>0</v>
      </c>
      <c r="K25" s="11">
        <v>23</v>
      </c>
      <c r="L25" s="11">
        <v>0</v>
      </c>
      <c r="M25" s="11">
        <v>41.030024916981397</v>
      </c>
      <c r="N25" s="13"/>
      <c r="O25" s="11">
        <v>41.022691291989801</v>
      </c>
      <c r="P25" s="11">
        <v>41.030024916981397</v>
      </c>
      <c r="Q25" s="11">
        <v>42.020153999968898</v>
      </c>
      <c r="R25" s="11">
        <v>42.023621291969903</v>
      </c>
      <c r="S25" s="11">
        <v>42.688807917002102</v>
      </c>
      <c r="T25" s="11">
        <v>0</v>
      </c>
      <c r="U25" s="12" t="s">
        <v>32</v>
      </c>
      <c r="V25" s="11">
        <v>0</v>
      </c>
      <c r="W25" s="11">
        <v>0.65641954098828104</v>
      </c>
      <c r="X25" s="12" t="s">
        <v>33</v>
      </c>
      <c r="Y25" s="11">
        <v>1</v>
      </c>
      <c r="Z25" s="11">
        <v>1</v>
      </c>
      <c r="AA25" s="12" t="s">
        <v>34</v>
      </c>
      <c r="AB25" s="12" t="s">
        <v>35</v>
      </c>
      <c r="AC25" s="13"/>
      <c r="AD25" s="12" t="s">
        <v>36</v>
      </c>
      <c r="AE25" s="12" t="s">
        <v>33</v>
      </c>
      <c r="AF25" s="12" t="s">
        <v>37</v>
      </c>
      <c r="AG25" s="13"/>
    </row>
    <row r="26" spans="1:33" ht="20" customHeight="1" x14ac:dyDescent="0.15">
      <c r="A26" s="9">
        <v>24</v>
      </c>
      <c r="B26" s="10">
        <v>0</v>
      </c>
      <c r="C26" s="11">
        <v>24</v>
      </c>
      <c r="D26" s="11">
        <v>0</v>
      </c>
      <c r="E26" s="12" t="s">
        <v>32</v>
      </c>
      <c r="F26" s="11">
        <v>0</v>
      </c>
      <c r="G26" s="11">
        <v>0.61657625000225402</v>
      </c>
      <c r="H26" s="12" t="s">
        <v>33</v>
      </c>
      <c r="I26" s="11">
        <v>24</v>
      </c>
      <c r="J26" s="11">
        <v>0</v>
      </c>
      <c r="K26" s="11">
        <v>24</v>
      </c>
      <c r="L26" s="11">
        <v>0</v>
      </c>
      <c r="M26" s="11">
        <v>42.696696874976602</v>
      </c>
      <c r="N26" s="13"/>
      <c r="O26" s="11">
        <v>42.689345916965998</v>
      </c>
      <c r="P26" s="11">
        <v>42.696696874976602</v>
      </c>
      <c r="Q26" s="11">
        <v>43.686935167003</v>
      </c>
      <c r="R26" s="11">
        <v>43.690502457961003</v>
      </c>
      <c r="S26" s="11">
        <v>44.3085141669726</v>
      </c>
      <c r="T26" s="11">
        <v>0</v>
      </c>
      <c r="U26" s="12" t="s">
        <v>32</v>
      </c>
      <c r="V26" s="11">
        <v>0</v>
      </c>
      <c r="W26" s="11">
        <v>0.61657625000225402</v>
      </c>
      <c r="X26" s="12" t="s">
        <v>33</v>
      </c>
      <c r="Y26" s="11">
        <v>1</v>
      </c>
      <c r="Z26" s="11">
        <v>1</v>
      </c>
      <c r="AA26" s="12" t="s">
        <v>34</v>
      </c>
      <c r="AB26" s="12" t="s">
        <v>35</v>
      </c>
      <c r="AC26" s="13"/>
      <c r="AD26" s="12" t="s">
        <v>36</v>
      </c>
      <c r="AE26" s="12" t="s">
        <v>33</v>
      </c>
      <c r="AF26" s="12" t="s">
        <v>37</v>
      </c>
      <c r="AG26" s="13"/>
    </row>
    <row r="27" spans="1:33" ht="20" customHeight="1" x14ac:dyDescent="0.15">
      <c r="A27" s="9">
        <v>25</v>
      </c>
      <c r="B27" s="10">
        <v>0</v>
      </c>
      <c r="C27" s="11">
        <v>25</v>
      </c>
      <c r="D27" s="11">
        <v>-3</v>
      </c>
      <c r="E27" s="12" t="s">
        <v>38</v>
      </c>
      <c r="F27" s="11">
        <v>0</v>
      </c>
      <c r="G27" s="11">
        <v>0.61959558300441098</v>
      </c>
      <c r="H27" s="12" t="s">
        <v>33</v>
      </c>
      <c r="I27" s="11">
        <v>25</v>
      </c>
      <c r="J27" s="11">
        <v>0</v>
      </c>
      <c r="K27" s="11">
        <v>25</v>
      </c>
      <c r="L27" s="11">
        <v>0</v>
      </c>
      <c r="M27" s="11">
        <v>44.320189833000804</v>
      </c>
      <c r="N27" s="13"/>
      <c r="O27" s="11">
        <v>44.308968500001399</v>
      </c>
      <c r="P27" s="11">
        <v>44.320189833000804</v>
      </c>
      <c r="Q27" s="11">
        <v>45.308012499997901</v>
      </c>
      <c r="R27" s="11">
        <v>45.308012499997901</v>
      </c>
      <c r="S27" s="11">
        <v>45.938803832978003</v>
      </c>
      <c r="T27" s="11">
        <v>-3</v>
      </c>
      <c r="U27" s="12" t="s">
        <v>38</v>
      </c>
      <c r="V27" s="11">
        <v>0</v>
      </c>
      <c r="W27" s="11">
        <v>0.61959558300441098</v>
      </c>
      <c r="X27" s="12" t="s">
        <v>33</v>
      </c>
      <c r="Y27" s="11">
        <v>1</v>
      </c>
      <c r="Z27" s="11">
        <v>1</v>
      </c>
      <c r="AA27" s="12" t="s">
        <v>34</v>
      </c>
      <c r="AB27" s="12" t="s">
        <v>35</v>
      </c>
      <c r="AC27" s="13"/>
      <c r="AD27" s="12" t="s">
        <v>36</v>
      </c>
      <c r="AE27" s="12" t="s">
        <v>33</v>
      </c>
      <c r="AF27" s="12" t="s">
        <v>37</v>
      </c>
      <c r="AG27" s="13"/>
    </row>
    <row r="28" spans="1:33" ht="20" customHeight="1" x14ac:dyDescent="0.15">
      <c r="A28" s="9">
        <v>26</v>
      </c>
      <c r="B28" s="10">
        <v>0</v>
      </c>
      <c r="C28" s="11">
        <v>26</v>
      </c>
      <c r="D28" s="11">
        <v>-5</v>
      </c>
      <c r="E28" s="12" t="s">
        <v>32</v>
      </c>
      <c r="F28" s="11">
        <v>1</v>
      </c>
      <c r="G28" s="11">
        <v>0.57467100000940297</v>
      </c>
      <c r="H28" s="12" t="s">
        <v>33</v>
      </c>
      <c r="I28" s="11">
        <v>26</v>
      </c>
      <c r="J28" s="11">
        <v>0</v>
      </c>
      <c r="K28" s="11">
        <v>26</v>
      </c>
      <c r="L28" s="11">
        <v>0</v>
      </c>
      <c r="M28" s="11">
        <v>45.9467871669913</v>
      </c>
      <c r="N28" s="13"/>
      <c r="O28" s="11">
        <v>45.939405332959701</v>
      </c>
      <c r="P28" s="11">
        <v>45.9467871669913</v>
      </c>
      <c r="Q28" s="11">
        <v>46.936823749973001</v>
      </c>
      <c r="R28" s="11">
        <v>46.939999333000699</v>
      </c>
      <c r="S28" s="11">
        <v>47.522054041968701</v>
      </c>
      <c r="T28" s="11">
        <v>-5</v>
      </c>
      <c r="U28" s="12" t="s">
        <v>32</v>
      </c>
      <c r="V28" s="11">
        <v>1</v>
      </c>
      <c r="W28" s="11">
        <v>0.57467100000940297</v>
      </c>
      <c r="X28" s="12" t="s">
        <v>33</v>
      </c>
      <c r="Y28" s="11">
        <v>1</v>
      </c>
      <c r="Z28" s="11">
        <v>1</v>
      </c>
      <c r="AA28" s="12" t="s">
        <v>34</v>
      </c>
      <c r="AB28" s="12" t="s">
        <v>35</v>
      </c>
      <c r="AC28" s="13"/>
      <c r="AD28" s="12" t="s">
        <v>36</v>
      </c>
      <c r="AE28" s="12" t="s">
        <v>33</v>
      </c>
      <c r="AF28" s="12" t="s">
        <v>37</v>
      </c>
      <c r="AG28" s="13"/>
    </row>
    <row r="29" spans="1:33" ht="20" customHeight="1" x14ac:dyDescent="0.15">
      <c r="A29" s="9">
        <v>27</v>
      </c>
      <c r="B29" s="10">
        <v>0</v>
      </c>
      <c r="C29" s="11">
        <v>27</v>
      </c>
      <c r="D29" s="11">
        <v>-4</v>
      </c>
      <c r="E29" s="12" t="s">
        <v>38</v>
      </c>
      <c r="F29" s="11">
        <v>0</v>
      </c>
      <c r="G29" s="11">
        <v>1.05525983299594</v>
      </c>
      <c r="H29" s="12" t="s">
        <v>33</v>
      </c>
      <c r="I29" s="11">
        <v>27</v>
      </c>
      <c r="J29" s="11">
        <v>0</v>
      </c>
      <c r="K29" s="11">
        <v>27</v>
      </c>
      <c r="L29" s="11">
        <v>0</v>
      </c>
      <c r="M29" s="11">
        <v>47.530104916950201</v>
      </c>
      <c r="N29" s="13"/>
      <c r="O29" s="11">
        <v>47.522648082987899</v>
      </c>
      <c r="P29" s="11">
        <v>47.530104916950201</v>
      </c>
      <c r="Q29" s="11">
        <v>48.520191666961203</v>
      </c>
      <c r="R29" s="11">
        <v>48.523749541956903</v>
      </c>
      <c r="S29" s="11">
        <v>49.588795082992903</v>
      </c>
      <c r="T29" s="11">
        <v>-4</v>
      </c>
      <c r="U29" s="12" t="s">
        <v>38</v>
      </c>
      <c r="V29" s="11">
        <v>0</v>
      </c>
      <c r="W29" s="11">
        <v>1.05525983299594</v>
      </c>
      <c r="X29" s="12" t="s">
        <v>33</v>
      </c>
      <c r="Y29" s="11">
        <v>1</v>
      </c>
      <c r="Z29" s="11">
        <v>1</v>
      </c>
      <c r="AA29" s="12" t="s">
        <v>34</v>
      </c>
      <c r="AB29" s="12" t="s">
        <v>35</v>
      </c>
      <c r="AC29" s="13"/>
      <c r="AD29" s="12" t="s">
        <v>36</v>
      </c>
      <c r="AE29" s="12" t="s">
        <v>33</v>
      </c>
      <c r="AF29" s="12" t="s">
        <v>37</v>
      </c>
      <c r="AG29" s="13"/>
    </row>
    <row r="30" spans="1:33" ht="20" customHeight="1" x14ac:dyDescent="0.15">
      <c r="A30" s="9">
        <v>28</v>
      </c>
      <c r="B30" s="10">
        <v>0</v>
      </c>
      <c r="C30" s="11">
        <v>28</v>
      </c>
      <c r="D30" s="11">
        <v>2</v>
      </c>
      <c r="E30" s="12" t="s">
        <v>32</v>
      </c>
      <c r="F30" s="11">
        <v>1</v>
      </c>
      <c r="G30" s="11">
        <v>0.62561366701265797</v>
      </c>
      <c r="H30" s="12" t="s">
        <v>33</v>
      </c>
      <c r="I30" s="11">
        <v>28</v>
      </c>
      <c r="J30" s="11">
        <v>0</v>
      </c>
      <c r="K30" s="11">
        <v>28</v>
      </c>
      <c r="L30" s="11">
        <v>0</v>
      </c>
      <c r="M30" s="11">
        <v>49.596537124947602</v>
      </c>
      <c r="N30" s="13"/>
      <c r="O30" s="11">
        <v>49.589363457984298</v>
      </c>
      <c r="P30" s="11">
        <v>49.596537124947602</v>
      </c>
      <c r="Q30" s="11">
        <v>50.586847624974297</v>
      </c>
      <c r="R30" s="11">
        <v>50.590364249947001</v>
      </c>
      <c r="S30" s="11">
        <v>51.221688374993398</v>
      </c>
      <c r="T30" s="11">
        <v>2</v>
      </c>
      <c r="U30" s="12" t="s">
        <v>32</v>
      </c>
      <c r="V30" s="11">
        <v>1</v>
      </c>
      <c r="W30" s="11">
        <v>0.62561366701265797</v>
      </c>
      <c r="X30" s="12" t="s">
        <v>33</v>
      </c>
      <c r="Y30" s="11">
        <v>1</v>
      </c>
      <c r="Z30" s="11">
        <v>1</v>
      </c>
      <c r="AA30" s="12" t="s">
        <v>34</v>
      </c>
      <c r="AB30" s="12" t="s">
        <v>35</v>
      </c>
      <c r="AC30" s="13"/>
      <c r="AD30" s="12" t="s">
        <v>36</v>
      </c>
      <c r="AE30" s="12" t="s">
        <v>33</v>
      </c>
      <c r="AF30" s="12" t="s">
        <v>37</v>
      </c>
      <c r="AG30" s="13"/>
    </row>
    <row r="31" spans="1:33" ht="20" customHeight="1" x14ac:dyDescent="0.15">
      <c r="A31" s="9">
        <v>29</v>
      </c>
      <c r="B31" s="10">
        <v>0</v>
      </c>
      <c r="C31" s="11">
        <v>29</v>
      </c>
      <c r="D31" s="11">
        <v>-3</v>
      </c>
      <c r="E31" s="12" t="s">
        <v>32</v>
      </c>
      <c r="F31" s="11">
        <v>1</v>
      </c>
      <c r="G31" s="11">
        <v>0.78521816601278305</v>
      </c>
      <c r="H31" s="12" t="s">
        <v>33</v>
      </c>
      <c r="I31" s="11">
        <v>29</v>
      </c>
      <c r="J31" s="11">
        <v>0</v>
      </c>
      <c r="K31" s="11">
        <v>29</v>
      </c>
      <c r="L31" s="11">
        <v>0</v>
      </c>
      <c r="M31" s="11">
        <v>51.2293545829598</v>
      </c>
      <c r="N31" s="13"/>
      <c r="O31" s="11">
        <v>51.222208499966698</v>
      </c>
      <c r="P31" s="11">
        <v>51.2293545829598</v>
      </c>
      <c r="Q31" s="11">
        <v>52.220098416961299</v>
      </c>
      <c r="R31" s="11">
        <v>52.223689999955198</v>
      </c>
      <c r="S31" s="11">
        <v>53.007767041970503</v>
      </c>
      <c r="T31" s="11">
        <v>-3</v>
      </c>
      <c r="U31" s="12" t="s">
        <v>32</v>
      </c>
      <c r="V31" s="11">
        <v>1</v>
      </c>
      <c r="W31" s="11">
        <v>0.78521816601278305</v>
      </c>
      <c r="X31" s="12" t="s">
        <v>33</v>
      </c>
      <c r="Y31" s="11">
        <v>1</v>
      </c>
      <c r="Z31" s="11">
        <v>1</v>
      </c>
      <c r="AA31" s="12" t="s">
        <v>34</v>
      </c>
      <c r="AB31" s="12" t="s">
        <v>35</v>
      </c>
      <c r="AC31" s="13"/>
      <c r="AD31" s="12" t="s">
        <v>36</v>
      </c>
      <c r="AE31" s="12" t="s">
        <v>33</v>
      </c>
      <c r="AF31" s="12" t="s">
        <v>37</v>
      </c>
      <c r="AG31" s="13"/>
    </row>
    <row r="32" spans="1:33" ht="20" customHeight="1" x14ac:dyDescent="0.15">
      <c r="A32" s="9">
        <v>30</v>
      </c>
      <c r="B32" s="10">
        <v>0</v>
      </c>
      <c r="C32" s="11">
        <v>30</v>
      </c>
      <c r="D32" s="11">
        <v>2</v>
      </c>
      <c r="E32" s="12" t="s">
        <v>32</v>
      </c>
      <c r="F32" s="11">
        <v>1</v>
      </c>
      <c r="G32" s="11">
        <v>0.44473933300469098</v>
      </c>
      <c r="H32" s="12" t="s">
        <v>33</v>
      </c>
      <c r="I32" s="11">
        <v>30</v>
      </c>
      <c r="J32" s="11">
        <v>0</v>
      </c>
      <c r="K32" s="11">
        <v>30</v>
      </c>
      <c r="L32" s="11">
        <v>0</v>
      </c>
      <c r="M32" s="11">
        <v>53.0201646669884</v>
      </c>
      <c r="N32" s="13"/>
      <c r="O32" s="11">
        <v>53.008211874985101</v>
      </c>
      <c r="P32" s="11">
        <v>53.0201646669884</v>
      </c>
      <c r="Q32" s="11">
        <v>54.007549792004298</v>
      </c>
      <c r="R32" s="11">
        <v>54.007549792004298</v>
      </c>
      <c r="S32" s="11">
        <v>54.455300125002402</v>
      </c>
      <c r="T32" s="11">
        <v>2</v>
      </c>
      <c r="U32" s="12" t="s">
        <v>32</v>
      </c>
      <c r="V32" s="11">
        <v>1</v>
      </c>
      <c r="W32" s="11">
        <v>0.44473933300469098</v>
      </c>
      <c r="X32" s="12" t="s">
        <v>33</v>
      </c>
      <c r="Y32" s="11">
        <v>1</v>
      </c>
      <c r="Z32" s="11">
        <v>1</v>
      </c>
      <c r="AA32" s="12" t="s">
        <v>34</v>
      </c>
      <c r="AB32" s="12" t="s">
        <v>35</v>
      </c>
      <c r="AC32" s="13"/>
      <c r="AD32" s="12" t="s">
        <v>36</v>
      </c>
      <c r="AE32" s="12" t="s">
        <v>33</v>
      </c>
      <c r="AF32" s="12" t="s">
        <v>37</v>
      </c>
      <c r="AG32" s="13"/>
    </row>
    <row r="33" spans="1:33" ht="20" customHeight="1" x14ac:dyDescent="0.15">
      <c r="A33" s="9">
        <v>31</v>
      </c>
      <c r="B33" s="10">
        <v>0</v>
      </c>
      <c r="C33" s="11">
        <v>31</v>
      </c>
      <c r="D33" s="11">
        <v>0</v>
      </c>
      <c r="E33" s="12" t="s">
        <v>32</v>
      </c>
      <c r="F33" s="11">
        <v>0</v>
      </c>
      <c r="G33" s="11">
        <v>0.56486120796762396</v>
      </c>
      <c r="H33" s="12" t="s">
        <v>33</v>
      </c>
      <c r="I33" s="11">
        <v>31</v>
      </c>
      <c r="J33" s="11">
        <v>0</v>
      </c>
      <c r="K33" s="11">
        <v>31</v>
      </c>
      <c r="L33" s="11">
        <v>0</v>
      </c>
      <c r="M33" s="11">
        <v>54.459529207961197</v>
      </c>
      <c r="N33" s="13"/>
      <c r="O33" s="11">
        <v>54.455802291980902</v>
      </c>
      <c r="P33" s="11">
        <v>54.459529207961197</v>
      </c>
      <c r="Q33" s="11">
        <v>55.453473416972002</v>
      </c>
      <c r="R33" s="11">
        <v>55.457928707997802</v>
      </c>
      <c r="S33" s="11">
        <v>56.022048166952999</v>
      </c>
      <c r="T33" s="11">
        <v>0</v>
      </c>
      <c r="U33" s="12" t="s">
        <v>32</v>
      </c>
      <c r="V33" s="11">
        <v>0</v>
      </c>
      <c r="W33" s="11">
        <v>0.56486120796762396</v>
      </c>
      <c r="X33" s="12" t="s">
        <v>33</v>
      </c>
      <c r="Y33" s="11">
        <v>1</v>
      </c>
      <c r="Z33" s="11">
        <v>1</v>
      </c>
      <c r="AA33" s="12" t="s">
        <v>34</v>
      </c>
      <c r="AB33" s="12" t="s">
        <v>35</v>
      </c>
      <c r="AC33" s="13"/>
      <c r="AD33" s="12" t="s">
        <v>36</v>
      </c>
      <c r="AE33" s="12" t="s">
        <v>33</v>
      </c>
      <c r="AF33" s="12" t="s">
        <v>37</v>
      </c>
      <c r="AG33" s="13"/>
    </row>
    <row r="34" spans="1:33" ht="20" customHeight="1" x14ac:dyDescent="0.15">
      <c r="A34" s="9">
        <v>32</v>
      </c>
      <c r="B34" s="10">
        <v>0</v>
      </c>
      <c r="C34" s="11">
        <v>32</v>
      </c>
      <c r="D34" s="11">
        <v>2</v>
      </c>
      <c r="E34" s="12" t="s">
        <v>32</v>
      </c>
      <c r="F34" s="11">
        <v>1</v>
      </c>
      <c r="G34" s="11">
        <v>0.60098670801380705</v>
      </c>
      <c r="H34" s="12" t="s">
        <v>33</v>
      </c>
      <c r="I34" s="11">
        <v>32</v>
      </c>
      <c r="J34" s="11">
        <v>0</v>
      </c>
      <c r="K34" s="11">
        <v>32</v>
      </c>
      <c r="L34" s="11">
        <v>0</v>
      </c>
      <c r="M34" s="11">
        <v>56.026194957958097</v>
      </c>
      <c r="N34" s="13"/>
      <c r="O34" s="11">
        <v>56.022554666968098</v>
      </c>
      <c r="P34" s="11">
        <v>56.026194957958097</v>
      </c>
      <c r="Q34" s="11">
        <v>57.020160832966198</v>
      </c>
      <c r="R34" s="11">
        <v>57.023674583004301</v>
      </c>
      <c r="S34" s="11">
        <v>57.624890166975099</v>
      </c>
      <c r="T34" s="11">
        <v>2</v>
      </c>
      <c r="U34" s="12" t="s">
        <v>32</v>
      </c>
      <c r="V34" s="11">
        <v>1</v>
      </c>
      <c r="W34" s="11">
        <v>0.60098670801380705</v>
      </c>
      <c r="X34" s="12" t="s">
        <v>33</v>
      </c>
      <c r="Y34" s="11">
        <v>1</v>
      </c>
      <c r="Z34" s="11">
        <v>1</v>
      </c>
      <c r="AA34" s="12" t="s">
        <v>34</v>
      </c>
      <c r="AB34" s="12" t="s">
        <v>35</v>
      </c>
      <c r="AC34" s="13"/>
      <c r="AD34" s="12" t="s">
        <v>36</v>
      </c>
      <c r="AE34" s="12" t="s">
        <v>33</v>
      </c>
      <c r="AF34" s="12" t="s">
        <v>37</v>
      </c>
      <c r="AG34" s="13"/>
    </row>
    <row r="35" spans="1:33" ht="20" customHeight="1" x14ac:dyDescent="0.15">
      <c r="A35" s="9">
        <v>33</v>
      </c>
      <c r="B35" s="10">
        <v>0</v>
      </c>
      <c r="C35" s="11">
        <v>33</v>
      </c>
      <c r="D35" s="11">
        <v>-4</v>
      </c>
      <c r="E35" s="12" t="s">
        <v>38</v>
      </c>
      <c r="F35" s="11">
        <v>0</v>
      </c>
      <c r="G35" s="11">
        <v>0.62209958303719803</v>
      </c>
      <c r="H35" s="12" t="s">
        <v>33</v>
      </c>
      <c r="I35" s="11">
        <v>33</v>
      </c>
      <c r="J35" s="11">
        <v>0</v>
      </c>
      <c r="K35" s="11">
        <v>33</v>
      </c>
      <c r="L35" s="11">
        <v>0</v>
      </c>
      <c r="M35" s="11">
        <v>57.636788582953201</v>
      </c>
      <c r="N35" s="13"/>
      <c r="O35" s="11">
        <v>57.625316499965301</v>
      </c>
      <c r="P35" s="11">
        <v>57.636788582953201</v>
      </c>
      <c r="Q35" s="11">
        <v>58.624161707994098</v>
      </c>
      <c r="R35" s="11">
        <v>58.624161707994098</v>
      </c>
      <c r="S35" s="11">
        <v>59.255540957965401</v>
      </c>
      <c r="T35" s="11">
        <v>-4</v>
      </c>
      <c r="U35" s="12" t="s">
        <v>38</v>
      </c>
      <c r="V35" s="11">
        <v>0</v>
      </c>
      <c r="W35" s="11">
        <v>0.62209958303719803</v>
      </c>
      <c r="X35" s="12" t="s">
        <v>33</v>
      </c>
      <c r="Y35" s="11">
        <v>1</v>
      </c>
      <c r="Z35" s="11">
        <v>1</v>
      </c>
      <c r="AA35" s="12" t="s">
        <v>34</v>
      </c>
      <c r="AB35" s="12" t="s">
        <v>35</v>
      </c>
      <c r="AC35" s="13"/>
      <c r="AD35" s="12" t="s">
        <v>36</v>
      </c>
      <c r="AE35" s="12" t="s">
        <v>33</v>
      </c>
      <c r="AF35" s="12" t="s">
        <v>37</v>
      </c>
      <c r="AG35" s="13"/>
    </row>
    <row r="36" spans="1:33" ht="20" customHeight="1" x14ac:dyDescent="0.15">
      <c r="A36" s="9">
        <v>34</v>
      </c>
      <c r="B36" s="10">
        <v>0</v>
      </c>
      <c r="C36" s="11">
        <v>34</v>
      </c>
      <c r="D36" s="11">
        <v>0</v>
      </c>
      <c r="E36" s="12" t="s">
        <v>32</v>
      </c>
      <c r="F36" s="11">
        <v>0</v>
      </c>
      <c r="G36" s="11">
        <v>0.90371675003552798</v>
      </c>
      <c r="H36" s="12" t="s">
        <v>33</v>
      </c>
      <c r="I36" s="11">
        <v>34</v>
      </c>
      <c r="J36" s="11">
        <v>0</v>
      </c>
      <c r="K36" s="11">
        <v>34</v>
      </c>
      <c r="L36" s="11">
        <v>0</v>
      </c>
      <c r="M36" s="11">
        <v>59.263247750001</v>
      </c>
      <c r="N36" s="13"/>
      <c r="O36" s="11">
        <v>59.256038374966003</v>
      </c>
      <c r="P36" s="11">
        <v>59.263247750001</v>
      </c>
      <c r="Q36" s="11">
        <v>60.2534229999874</v>
      </c>
      <c r="R36" s="11">
        <v>60.2569848749554</v>
      </c>
      <c r="S36" s="11">
        <v>61.172336957999498</v>
      </c>
      <c r="T36" s="11">
        <v>0</v>
      </c>
      <c r="U36" s="12" t="s">
        <v>32</v>
      </c>
      <c r="V36" s="11">
        <v>0</v>
      </c>
      <c r="W36" s="11">
        <v>0.90371675003552798</v>
      </c>
      <c r="X36" s="12" t="s">
        <v>33</v>
      </c>
      <c r="Y36" s="11">
        <v>1</v>
      </c>
      <c r="Z36" s="11">
        <v>1</v>
      </c>
      <c r="AA36" s="12" t="s">
        <v>34</v>
      </c>
      <c r="AB36" s="12" t="s">
        <v>35</v>
      </c>
      <c r="AC36" s="13"/>
      <c r="AD36" s="12" t="s">
        <v>36</v>
      </c>
      <c r="AE36" s="12" t="s">
        <v>33</v>
      </c>
      <c r="AF36" s="12" t="s">
        <v>37</v>
      </c>
      <c r="AG36" s="13"/>
    </row>
    <row r="37" spans="1:33" ht="20" customHeight="1" x14ac:dyDescent="0.15">
      <c r="A37" s="9">
        <v>35</v>
      </c>
      <c r="B37" s="10">
        <v>0</v>
      </c>
      <c r="C37" s="11">
        <v>35</v>
      </c>
      <c r="D37" s="11">
        <v>0</v>
      </c>
      <c r="E37" s="12" t="s">
        <v>32</v>
      </c>
      <c r="F37" s="11">
        <v>0</v>
      </c>
      <c r="G37" s="11">
        <v>0.57898604101501405</v>
      </c>
      <c r="H37" s="12" t="s">
        <v>33</v>
      </c>
      <c r="I37" s="11">
        <v>35</v>
      </c>
      <c r="J37" s="11">
        <v>0</v>
      </c>
      <c r="K37" s="11">
        <v>35</v>
      </c>
      <c r="L37" s="11">
        <v>0</v>
      </c>
      <c r="M37" s="11">
        <v>61.179888374987101</v>
      </c>
      <c r="N37" s="13"/>
      <c r="O37" s="11">
        <v>61.172774666978498</v>
      </c>
      <c r="P37" s="11">
        <v>61.179888374987101</v>
      </c>
      <c r="Q37" s="11">
        <v>62.170216957980301</v>
      </c>
      <c r="R37" s="11">
        <v>62.174286499968701</v>
      </c>
      <c r="S37" s="11">
        <v>62.755759416963002</v>
      </c>
      <c r="T37" s="11">
        <v>0</v>
      </c>
      <c r="U37" s="12" t="s">
        <v>32</v>
      </c>
      <c r="V37" s="11">
        <v>0</v>
      </c>
      <c r="W37" s="11">
        <v>0.57898604101501405</v>
      </c>
      <c r="X37" s="12" t="s">
        <v>33</v>
      </c>
      <c r="Y37" s="11">
        <v>1</v>
      </c>
      <c r="Z37" s="11">
        <v>1</v>
      </c>
      <c r="AA37" s="12" t="s">
        <v>34</v>
      </c>
      <c r="AB37" s="12" t="s">
        <v>35</v>
      </c>
      <c r="AC37" s="13"/>
      <c r="AD37" s="12" t="s">
        <v>36</v>
      </c>
      <c r="AE37" s="12" t="s">
        <v>33</v>
      </c>
      <c r="AF37" s="12" t="s">
        <v>37</v>
      </c>
      <c r="AG37" s="13"/>
    </row>
    <row r="38" spans="1:33" ht="20" customHeight="1" x14ac:dyDescent="0.15">
      <c r="A38" s="9">
        <v>36</v>
      </c>
      <c r="B38" s="10">
        <v>0</v>
      </c>
      <c r="C38" s="11">
        <v>36</v>
      </c>
      <c r="D38" s="11">
        <v>1</v>
      </c>
      <c r="E38" s="12" t="s">
        <v>32</v>
      </c>
      <c r="F38" s="11">
        <v>1</v>
      </c>
      <c r="G38" s="11">
        <v>0.65966624900465798</v>
      </c>
      <c r="H38" s="12" t="s">
        <v>33</v>
      </c>
      <c r="I38" s="11">
        <v>36</v>
      </c>
      <c r="J38" s="11">
        <v>0</v>
      </c>
      <c r="K38" s="11">
        <v>36</v>
      </c>
      <c r="L38" s="11">
        <v>0</v>
      </c>
      <c r="M38" s="11">
        <v>62.763409332954303</v>
      </c>
      <c r="N38" s="13"/>
      <c r="O38" s="11">
        <v>62.756225457997097</v>
      </c>
      <c r="P38" s="11">
        <v>62.763409332954303</v>
      </c>
      <c r="Q38" s="11">
        <v>63.753418249951203</v>
      </c>
      <c r="R38" s="11">
        <v>63.756743332953199</v>
      </c>
      <c r="S38" s="11">
        <v>64.421987874957296</v>
      </c>
      <c r="T38" s="11">
        <v>1</v>
      </c>
      <c r="U38" s="12" t="s">
        <v>32</v>
      </c>
      <c r="V38" s="11">
        <v>1</v>
      </c>
      <c r="W38" s="11">
        <v>0.65966624900465798</v>
      </c>
      <c r="X38" s="12" t="s">
        <v>33</v>
      </c>
      <c r="Y38" s="11">
        <v>1</v>
      </c>
      <c r="Z38" s="11">
        <v>1</v>
      </c>
      <c r="AA38" s="12" t="s">
        <v>34</v>
      </c>
      <c r="AB38" s="12" t="s">
        <v>35</v>
      </c>
      <c r="AC38" s="13"/>
      <c r="AD38" s="12" t="s">
        <v>36</v>
      </c>
      <c r="AE38" s="12" t="s">
        <v>33</v>
      </c>
      <c r="AF38" s="12" t="s">
        <v>37</v>
      </c>
      <c r="AG38" s="13"/>
    </row>
    <row r="39" spans="1:33" ht="20" customHeight="1" x14ac:dyDescent="0.15">
      <c r="A39" s="9">
        <v>37</v>
      </c>
      <c r="B39" s="10">
        <v>0</v>
      </c>
      <c r="C39" s="11">
        <v>37</v>
      </c>
      <c r="D39" s="11">
        <v>0</v>
      </c>
      <c r="E39" s="12" t="s">
        <v>32</v>
      </c>
      <c r="F39" s="11">
        <v>0</v>
      </c>
      <c r="G39" s="11">
        <v>0.55386212503071897</v>
      </c>
      <c r="H39" s="12" t="s">
        <v>33</v>
      </c>
      <c r="I39" s="11">
        <v>37</v>
      </c>
      <c r="J39" s="11">
        <v>0</v>
      </c>
      <c r="K39" s="11">
        <v>37</v>
      </c>
      <c r="L39" s="11">
        <v>0</v>
      </c>
      <c r="M39" s="11">
        <v>64.429898624948706</v>
      </c>
      <c r="N39" s="13"/>
      <c r="O39" s="11">
        <v>64.422525667003399</v>
      </c>
      <c r="P39" s="11">
        <v>64.429898624948706</v>
      </c>
      <c r="Q39" s="11">
        <v>65.420141124981498</v>
      </c>
      <c r="R39" s="11">
        <v>65.423612416954697</v>
      </c>
      <c r="S39" s="11">
        <v>65.988682749972199</v>
      </c>
      <c r="T39" s="11">
        <v>0</v>
      </c>
      <c r="U39" s="12" t="s">
        <v>32</v>
      </c>
      <c r="V39" s="11">
        <v>0</v>
      </c>
      <c r="W39" s="11">
        <v>0.55386212503071897</v>
      </c>
      <c r="X39" s="12" t="s">
        <v>33</v>
      </c>
      <c r="Y39" s="11">
        <v>1</v>
      </c>
      <c r="Z39" s="11">
        <v>1</v>
      </c>
      <c r="AA39" s="12" t="s">
        <v>34</v>
      </c>
      <c r="AB39" s="12" t="s">
        <v>35</v>
      </c>
      <c r="AC39" s="13"/>
      <c r="AD39" s="12" t="s">
        <v>36</v>
      </c>
      <c r="AE39" s="12" t="s">
        <v>33</v>
      </c>
      <c r="AF39" s="12" t="s">
        <v>37</v>
      </c>
      <c r="AG39" s="13"/>
    </row>
    <row r="40" spans="1:33" ht="20" customHeight="1" x14ac:dyDescent="0.15">
      <c r="A40" s="9">
        <v>38</v>
      </c>
      <c r="B40" s="10">
        <v>0</v>
      </c>
      <c r="C40" s="11">
        <v>38</v>
      </c>
      <c r="D40" s="11">
        <v>0</v>
      </c>
      <c r="E40" s="12" t="s">
        <v>38</v>
      </c>
      <c r="F40" s="11">
        <v>1</v>
      </c>
      <c r="G40" s="11">
        <v>0.64327920798677996</v>
      </c>
      <c r="H40" s="12" t="s">
        <v>33</v>
      </c>
      <c r="I40" s="11">
        <v>38</v>
      </c>
      <c r="J40" s="11">
        <v>0</v>
      </c>
      <c r="K40" s="11">
        <v>38</v>
      </c>
      <c r="L40" s="11">
        <v>0</v>
      </c>
      <c r="M40" s="11">
        <v>65.996551582997199</v>
      </c>
      <c r="N40" s="13"/>
      <c r="O40" s="11">
        <v>65.989227041951395</v>
      </c>
      <c r="P40" s="11">
        <v>65.996551582997199</v>
      </c>
      <c r="Q40" s="11">
        <v>66.986793999967603</v>
      </c>
      <c r="R40" s="11">
        <v>66.990391917002896</v>
      </c>
      <c r="S40" s="11">
        <v>67.638722249946994</v>
      </c>
      <c r="T40" s="11">
        <v>0</v>
      </c>
      <c r="U40" s="12" t="s">
        <v>38</v>
      </c>
      <c r="V40" s="11">
        <v>1</v>
      </c>
      <c r="W40" s="11">
        <v>0.64327920798677996</v>
      </c>
      <c r="X40" s="12" t="s">
        <v>33</v>
      </c>
      <c r="Y40" s="11">
        <v>1</v>
      </c>
      <c r="Z40" s="11">
        <v>1</v>
      </c>
      <c r="AA40" s="12" t="s">
        <v>34</v>
      </c>
      <c r="AB40" s="12" t="s">
        <v>35</v>
      </c>
      <c r="AC40" s="13"/>
      <c r="AD40" s="12" t="s">
        <v>36</v>
      </c>
      <c r="AE40" s="12" t="s">
        <v>33</v>
      </c>
      <c r="AF40" s="12" t="s">
        <v>37</v>
      </c>
      <c r="AG40" s="13"/>
    </row>
    <row r="41" spans="1:33" ht="20" customHeight="1" x14ac:dyDescent="0.15">
      <c r="A41" s="9">
        <v>39</v>
      </c>
      <c r="B41" s="10">
        <v>0</v>
      </c>
      <c r="C41" s="11">
        <v>39</v>
      </c>
      <c r="D41" s="11">
        <v>0</v>
      </c>
      <c r="E41" s="12" t="s">
        <v>32</v>
      </c>
      <c r="F41" s="11">
        <v>0</v>
      </c>
      <c r="G41" s="11">
        <v>0.70407450001221195</v>
      </c>
      <c r="H41" s="12" t="s">
        <v>33</v>
      </c>
      <c r="I41" s="11">
        <v>39</v>
      </c>
      <c r="J41" s="11">
        <v>0</v>
      </c>
      <c r="K41" s="11">
        <v>39</v>
      </c>
      <c r="L41" s="11">
        <v>0</v>
      </c>
      <c r="M41" s="11">
        <v>67.646354957949399</v>
      </c>
      <c r="N41" s="13"/>
      <c r="O41" s="11">
        <v>67.639151041977996</v>
      </c>
      <c r="P41" s="11">
        <v>67.646354957949399</v>
      </c>
      <c r="Q41" s="11">
        <v>68.636799749976504</v>
      </c>
      <c r="R41" s="11">
        <v>68.640388791973194</v>
      </c>
      <c r="S41" s="11">
        <v>69.355518166965297</v>
      </c>
      <c r="T41" s="11">
        <v>0</v>
      </c>
      <c r="U41" s="12" t="s">
        <v>32</v>
      </c>
      <c r="V41" s="11">
        <v>0</v>
      </c>
      <c r="W41" s="11">
        <v>0.70407450001221195</v>
      </c>
      <c r="X41" s="12" t="s">
        <v>33</v>
      </c>
      <c r="Y41" s="11">
        <v>1</v>
      </c>
      <c r="Z41" s="11">
        <v>1</v>
      </c>
      <c r="AA41" s="12" t="s">
        <v>34</v>
      </c>
      <c r="AB41" s="12" t="s">
        <v>35</v>
      </c>
      <c r="AC41" s="13"/>
      <c r="AD41" s="12" t="s">
        <v>36</v>
      </c>
      <c r="AE41" s="12" t="s">
        <v>33</v>
      </c>
      <c r="AF41" s="12" t="s">
        <v>37</v>
      </c>
      <c r="AG41" s="13"/>
    </row>
    <row r="42" spans="1:33" ht="20" customHeight="1" x14ac:dyDescent="0.15">
      <c r="A42" s="9">
        <v>40</v>
      </c>
      <c r="B42" s="10">
        <v>0</v>
      </c>
      <c r="C42" s="11">
        <v>40</v>
      </c>
      <c r="D42" s="11">
        <v>-4</v>
      </c>
      <c r="E42" s="12" t="s">
        <v>32</v>
      </c>
      <c r="F42" s="11">
        <v>1</v>
      </c>
      <c r="G42" s="11">
        <v>0.74334124999586504</v>
      </c>
      <c r="H42" s="12" t="s">
        <v>33</v>
      </c>
      <c r="I42" s="11">
        <v>40</v>
      </c>
      <c r="J42" s="11">
        <v>0</v>
      </c>
      <c r="K42" s="11">
        <v>40</v>
      </c>
      <c r="L42" s="11">
        <v>0</v>
      </c>
      <c r="M42" s="11">
        <v>69.363376416964499</v>
      </c>
      <c r="N42" s="13"/>
      <c r="O42" s="11">
        <v>69.356043332954897</v>
      </c>
      <c r="P42" s="11">
        <v>69.363376416964499</v>
      </c>
      <c r="Q42" s="11">
        <v>70.353472541959505</v>
      </c>
      <c r="R42" s="11">
        <v>70.357106624986102</v>
      </c>
      <c r="S42" s="11">
        <v>71.105442666972493</v>
      </c>
      <c r="T42" s="11">
        <v>-4</v>
      </c>
      <c r="U42" s="12" t="s">
        <v>32</v>
      </c>
      <c r="V42" s="11">
        <v>1</v>
      </c>
      <c r="W42" s="11">
        <v>0.74334124999586504</v>
      </c>
      <c r="X42" s="12" t="s">
        <v>33</v>
      </c>
      <c r="Y42" s="11">
        <v>1</v>
      </c>
      <c r="Z42" s="11">
        <v>1</v>
      </c>
      <c r="AA42" s="12" t="s">
        <v>34</v>
      </c>
      <c r="AB42" s="12" t="s">
        <v>35</v>
      </c>
      <c r="AC42" s="13"/>
      <c r="AD42" s="12" t="s">
        <v>36</v>
      </c>
      <c r="AE42" s="12" t="s">
        <v>33</v>
      </c>
      <c r="AF42" s="12" t="s">
        <v>37</v>
      </c>
      <c r="AG42" s="13"/>
    </row>
    <row r="43" spans="1:33" ht="20" customHeight="1" x14ac:dyDescent="0.15">
      <c r="A43" s="9">
        <v>41</v>
      </c>
      <c r="B43" s="10">
        <v>0</v>
      </c>
      <c r="C43" s="11">
        <v>41</v>
      </c>
      <c r="D43" s="11">
        <v>0</v>
      </c>
      <c r="E43" s="12" t="s">
        <v>38</v>
      </c>
      <c r="F43" s="11">
        <v>1</v>
      </c>
      <c r="G43" s="11">
        <v>0.57954725000308804</v>
      </c>
      <c r="H43" s="12" t="s">
        <v>33</v>
      </c>
      <c r="I43" s="11">
        <v>41</v>
      </c>
      <c r="J43" s="11">
        <v>0</v>
      </c>
      <c r="K43" s="11">
        <v>41</v>
      </c>
      <c r="L43" s="11">
        <v>0</v>
      </c>
      <c r="M43" s="11">
        <v>71.113618624978699</v>
      </c>
      <c r="N43" s="13"/>
      <c r="O43" s="11">
        <v>71.106006457994198</v>
      </c>
      <c r="P43" s="11">
        <v>71.113618624978699</v>
      </c>
      <c r="Q43" s="11">
        <v>72.103424082975806</v>
      </c>
      <c r="R43" s="11">
        <v>72.106994375004405</v>
      </c>
      <c r="S43" s="11">
        <v>72.688870499958298</v>
      </c>
      <c r="T43" s="11">
        <v>0</v>
      </c>
      <c r="U43" s="12" t="s">
        <v>38</v>
      </c>
      <c r="V43" s="11">
        <v>1</v>
      </c>
      <c r="W43" s="11">
        <v>0.57954725000308804</v>
      </c>
      <c r="X43" s="12" t="s">
        <v>33</v>
      </c>
      <c r="Y43" s="11">
        <v>1</v>
      </c>
      <c r="Z43" s="11">
        <v>1</v>
      </c>
      <c r="AA43" s="12" t="s">
        <v>34</v>
      </c>
      <c r="AB43" s="12" t="s">
        <v>35</v>
      </c>
      <c r="AC43" s="13"/>
      <c r="AD43" s="12" t="s">
        <v>36</v>
      </c>
      <c r="AE43" s="12" t="s">
        <v>33</v>
      </c>
      <c r="AF43" s="12" t="s">
        <v>37</v>
      </c>
      <c r="AG43" s="13"/>
    </row>
    <row r="44" spans="1:33" ht="20" customHeight="1" x14ac:dyDescent="0.15">
      <c r="A44" s="9">
        <v>42</v>
      </c>
      <c r="B44" s="10">
        <v>0</v>
      </c>
      <c r="C44" s="11">
        <v>42</v>
      </c>
      <c r="D44" s="11">
        <v>0</v>
      </c>
      <c r="E44" s="12" t="s">
        <v>38</v>
      </c>
      <c r="F44" s="11">
        <v>1</v>
      </c>
      <c r="G44" s="11">
        <v>0.80714200000511505</v>
      </c>
      <c r="H44" s="12" t="s">
        <v>33</v>
      </c>
      <c r="I44" s="11">
        <v>42</v>
      </c>
      <c r="J44" s="11">
        <v>0</v>
      </c>
      <c r="K44" s="11">
        <v>42</v>
      </c>
      <c r="L44" s="11">
        <v>0</v>
      </c>
      <c r="M44" s="11">
        <v>72.696909332997194</v>
      </c>
      <c r="N44" s="13"/>
      <c r="O44" s="11">
        <v>72.689419707981898</v>
      </c>
      <c r="P44" s="11">
        <v>72.696909332997194</v>
      </c>
      <c r="Q44" s="11">
        <v>73.686748416977906</v>
      </c>
      <c r="R44" s="11">
        <v>73.690334999992103</v>
      </c>
      <c r="S44" s="11">
        <v>74.505322916957098</v>
      </c>
      <c r="T44" s="11">
        <v>0</v>
      </c>
      <c r="U44" s="12" t="s">
        <v>38</v>
      </c>
      <c r="V44" s="11">
        <v>1</v>
      </c>
      <c r="W44" s="11">
        <v>0.80714200000511505</v>
      </c>
      <c r="X44" s="12" t="s">
        <v>33</v>
      </c>
      <c r="Y44" s="11">
        <v>1</v>
      </c>
      <c r="Z44" s="11">
        <v>1</v>
      </c>
      <c r="AA44" s="12" t="s">
        <v>34</v>
      </c>
      <c r="AB44" s="12" t="s">
        <v>35</v>
      </c>
      <c r="AC44" s="13"/>
      <c r="AD44" s="12" t="s">
        <v>36</v>
      </c>
      <c r="AE44" s="12" t="s">
        <v>33</v>
      </c>
      <c r="AF44" s="12" t="s">
        <v>37</v>
      </c>
      <c r="AG44" s="13"/>
    </row>
    <row r="45" spans="1:33" ht="20" customHeight="1" x14ac:dyDescent="0.15">
      <c r="A45" s="9">
        <v>43</v>
      </c>
      <c r="B45" s="10">
        <v>0</v>
      </c>
      <c r="C45" s="11">
        <v>43</v>
      </c>
      <c r="D45" s="11">
        <v>4</v>
      </c>
      <c r="E45" s="12" t="s">
        <v>32</v>
      </c>
      <c r="F45" s="11">
        <v>1</v>
      </c>
      <c r="G45" s="11">
        <v>0.49842020799405901</v>
      </c>
      <c r="H45" s="12" t="s">
        <v>33</v>
      </c>
      <c r="I45" s="11">
        <v>43</v>
      </c>
      <c r="J45" s="11">
        <v>0</v>
      </c>
      <c r="K45" s="11">
        <v>43</v>
      </c>
      <c r="L45" s="11">
        <v>0</v>
      </c>
      <c r="M45" s="11">
        <v>74.513553832948702</v>
      </c>
      <c r="N45" s="13"/>
      <c r="O45" s="11">
        <v>74.5059444169747</v>
      </c>
      <c r="P45" s="11">
        <v>74.513553832948702</v>
      </c>
      <c r="Q45" s="11">
        <v>75.5033743329695</v>
      </c>
      <c r="R45" s="11">
        <v>75.507049332954907</v>
      </c>
      <c r="S45" s="11">
        <v>76.0053940420039</v>
      </c>
      <c r="T45" s="11">
        <v>4</v>
      </c>
      <c r="U45" s="12" t="s">
        <v>32</v>
      </c>
      <c r="V45" s="11">
        <v>1</v>
      </c>
      <c r="W45" s="11">
        <v>0.49842020799405901</v>
      </c>
      <c r="X45" s="12" t="s">
        <v>33</v>
      </c>
      <c r="Y45" s="11">
        <v>1</v>
      </c>
      <c r="Z45" s="11">
        <v>1</v>
      </c>
      <c r="AA45" s="12" t="s">
        <v>34</v>
      </c>
      <c r="AB45" s="12" t="s">
        <v>35</v>
      </c>
      <c r="AC45" s="13"/>
      <c r="AD45" s="12" t="s">
        <v>36</v>
      </c>
      <c r="AE45" s="12" t="s">
        <v>33</v>
      </c>
      <c r="AF45" s="12" t="s">
        <v>37</v>
      </c>
      <c r="AG45" s="13"/>
    </row>
    <row r="46" spans="1:33" ht="20" customHeight="1" x14ac:dyDescent="0.15">
      <c r="A46" s="9">
        <v>44</v>
      </c>
      <c r="B46" s="10">
        <v>0</v>
      </c>
      <c r="C46" s="11">
        <v>44</v>
      </c>
      <c r="D46" s="11">
        <v>2</v>
      </c>
      <c r="E46" s="12" t="s">
        <v>32</v>
      </c>
      <c r="F46" s="11">
        <v>1</v>
      </c>
      <c r="G46" s="11">
        <v>0.68641133297933299</v>
      </c>
      <c r="H46" s="12" t="s">
        <v>33</v>
      </c>
      <c r="I46" s="11">
        <v>44</v>
      </c>
      <c r="J46" s="11">
        <v>0</v>
      </c>
      <c r="K46" s="11">
        <v>44</v>
      </c>
      <c r="L46" s="11">
        <v>0</v>
      </c>
      <c r="M46" s="11">
        <v>76.0096214579535</v>
      </c>
      <c r="N46" s="13"/>
      <c r="O46" s="11">
        <v>76.005925457982798</v>
      </c>
      <c r="P46" s="11">
        <v>76.0096214579535</v>
      </c>
      <c r="Q46" s="11">
        <v>77.003393582999706</v>
      </c>
      <c r="R46" s="11">
        <v>77.007047499995707</v>
      </c>
      <c r="S46" s="11">
        <v>77.691187749966105</v>
      </c>
      <c r="T46" s="11">
        <v>2</v>
      </c>
      <c r="U46" s="12" t="s">
        <v>32</v>
      </c>
      <c r="V46" s="11">
        <v>1</v>
      </c>
      <c r="W46" s="11">
        <v>0.68641133297933299</v>
      </c>
      <c r="X46" s="12" t="s">
        <v>33</v>
      </c>
      <c r="Y46" s="11">
        <v>1</v>
      </c>
      <c r="Z46" s="11">
        <v>1</v>
      </c>
      <c r="AA46" s="12" t="s">
        <v>34</v>
      </c>
      <c r="AB46" s="12" t="s">
        <v>35</v>
      </c>
      <c r="AC46" s="13"/>
      <c r="AD46" s="12" t="s">
        <v>36</v>
      </c>
      <c r="AE46" s="12" t="s">
        <v>33</v>
      </c>
      <c r="AF46" s="12" t="s">
        <v>37</v>
      </c>
      <c r="AG46" s="13"/>
    </row>
    <row r="47" spans="1:33" ht="20" customHeight="1" x14ac:dyDescent="0.15">
      <c r="A47" s="9">
        <v>45</v>
      </c>
      <c r="B47" s="10">
        <v>0</v>
      </c>
      <c r="C47" s="11">
        <v>45</v>
      </c>
      <c r="D47" s="11">
        <v>0</v>
      </c>
      <c r="E47" s="12" t="s">
        <v>38</v>
      </c>
      <c r="F47" s="11">
        <v>1</v>
      </c>
      <c r="G47" s="11">
        <v>0.726217041024938</v>
      </c>
      <c r="H47" s="12" t="s">
        <v>33</v>
      </c>
      <c r="I47" s="11">
        <v>45</v>
      </c>
      <c r="J47" s="11">
        <v>0</v>
      </c>
      <c r="K47" s="11">
        <v>45</v>
      </c>
      <c r="L47" s="11">
        <v>0</v>
      </c>
      <c r="M47" s="11">
        <v>77.703483791963706</v>
      </c>
      <c r="N47" s="13"/>
      <c r="O47" s="11">
        <v>77.691556457953993</v>
      </c>
      <c r="P47" s="11">
        <v>77.703483791963706</v>
      </c>
      <c r="Q47" s="11">
        <v>78.6906475829892</v>
      </c>
      <c r="R47" s="11">
        <v>78.6906475829892</v>
      </c>
      <c r="S47" s="11">
        <v>79.421986332978094</v>
      </c>
      <c r="T47" s="11">
        <v>0</v>
      </c>
      <c r="U47" s="12" t="s">
        <v>38</v>
      </c>
      <c r="V47" s="11">
        <v>1</v>
      </c>
      <c r="W47" s="11">
        <v>0.726217041024938</v>
      </c>
      <c r="X47" s="12" t="s">
        <v>33</v>
      </c>
      <c r="Y47" s="11">
        <v>1</v>
      </c>
      <c r="Z47" s="11">
        <v>1</v>
      </c>
      <c r="AA47" s="12" t="s">
        <v>34</v>
      </c>
      <c r="AB47" s="12" t="s">
        <v>35</v>
      </c>
      <c r="AC47" s="13"/>
      <c r="AD47" s="12" t="s">
        <v>36</v>
      </c>
      <c r="AE47" s="12" t="s">
        <v>33</v>
      </c>
      <c r="AF47" s="12" t="s">
        <v>37</v>
      </c>
      <c r="AG47" s="13"/>
    </row>
    <row r="48" spans="1:33" ht="20" customHeight="1" x14ac:dyDescent="0.15">
      <c r="A48" s="9">
        <v>46</v>
      </c>
      <c r="B48" s="10">
        <v>0</v>
      </c>
      <c r="C48" s="11">
        <v>46</v>
      </c>
      <c r="D48" s="11">
        <v>0</v>
      </c>
      <c r="E48" s="12" t="s">
        <v>38</v>
      </c>
      <c r="F48" s="11">
        <v>1</v>
      </c>
      <c r="G48" s="11">
        <v>0.536577292019501</v>
      </c>
      <c r="H48" s="12" t="s">
        <v>33</v>
      </c>
      <c r="I48" s="11">
        <v>46</v>
      </c>
      <c r="J48" s="11">
        <v>0</v>
      </c>
      <c r="K48" s="11">
        <v>46</v>
      </c>
      <c r="L48" s="11">
        <v>0</v>
      </c>
      <c r="M48" s="11">
        <v>79.426183082978199</v>
      </c>
      <c r="N48" s="13"/>
      <c r="O48" s="11">
        <v>79.422504707996296</v>
      </c>
      <c r="P48" s="11">
        <v>79.426183082978199</v>
      </c>
      <c r="Q48" s="11">
        <v>80.420108249993106</v>
      </c>
      <c r="R48" s="11">
        <v>80.423659541993402</v>
      </c>
      <c r="S48" s="11">
        <v>80.970531250000903</v>
      </c>
      <c r="T48" s="11">
        <v>0</v>
      </c>
      <c r="U48" s="12" t="s">
        <v>38</v>
      </c>
      <c r="V48" s="11">
        <v>1</v>
      </c>
      <c r="W48" s="11">
        <v>0.536577292019501</v>
      </c>
      <c r="X48" s="12" t="s">
        <v>33</v>
      </c>
      <c r="Y48" s="11">
        <v>1</v>
      </c>
      <c r="Z48" s="11">
        <v>1</v>
      </c>
      <c r="AA48" s="12" t="s">
        <v>34</v>
      </c>
      <c r="AB48" s="12" t="s">
        <v>35</v>
      </c>
      <c r="AC48" s="13"/>
      <c r="AD48" s="12" t="s">
        <v>36</v>
      </c>
      <c r="AE48" s="12" t="s">
        <v>33</v>
      </c>
      <c r="AF48" s="12" t="s">
        <v>37</v>
      </c>
      <c r="AG48" s="13"/>
    </row>
    <row r="49" spans="1:33" ht="20" customHeight="1" x14ac:dyDescent="0.15">
      <c r="A49" s="9">
        <v>47</v>
      </c>
      <c r="B49" s="10">
        <v>0</v>
      </c>
      <c r="C49" s="11">
        <v>47</v>
      </c>
      <c r="D49" s="11">
        <v>0</v>
      </c>
      <c r="E49" s="12" t="s">
        <v>38</v>
      </c>
      <c r="F49" s="11">
        <v>1</v>
      </c>
      <c r="G49" s="11">
        <v>0.67530879197875004</v>
      </c>
      <c r="H49" s="12" t="s">
        <v>33</v>
      </c>
      <c r="I49" s="11">
        <v>47</v>
      </c>
      <c r="J49" s="11">
        <v>0</v>
      </c>
      <c r="K49" s="11">
        <v>47</v>
      </c>
      <c r="L49" s="11">
        <v>0</v>
      </c>
      <c r="M49" s="11">
        <v>80.978082624962596</v>
      </c>
      <c r="N49" s="13"/>
      <c r="O49" s="11">
        <v>80.971034166985206</v>
      </c>
      <c r="P49" s="11">
        <v>80.978082624962596</v>
      </c>
      <c r="Q49" s="11">
        <v>81.957472666981602</v>
      </c>
      <c r="R49" s="11">
        <v>81.973602249985603</v>
      </c>
      <c r="S49" s="11">
        <v>82.638575249991902</v>
      </c>
      <c r="T49" s="11">
        <v>0</v>
      </c>
      <c r="U49" s="12" t="s">
        <v>38</v>
      </c>
      <c r="V49" s="11">
        <v>1</v>
      </c>
      <c r="W49" s="11">
        <v>0.67530879197875004</v>
      </c>
      <c r="X49" s="12" t="s">
        <v>33</v>
      </c>
      <c r="Y49" s="11">
        <v>1</v>
      </c>
      <c r="Z49" s="11">
        <v>1</v>
      </c>
      <c r="AA49" s="12" t="s">
        <v>34</v>
      </c>
      <c r="AB49" s="12" t="s">
        <v>35</v>
      </c>
      <c r="AC49" s="13"/>
      <c r="AD49" s="12" t="s">
        <v>36</v>
      </c>
      <c r="AE49" s="12" t="s">
        <v>33</v>
      </c>
      <c r="AF49" s="12" t="s">
        <v>37</v>
      </c>
      <c r="AG49" s="13"/>
    </row>
    <row r="50" spans="1:33" ht="20" customHeight="1" x14ac:dyDescent="0.15">
      <c r="A50" s="9">
        <v>48</v>
      </c>
      <c r="B50" s="10">
        <v>0</v>
      </c>
      <c r="C50" s="11">
        <v>48</v>
      </c>
      <c r="D50" s="11">
        <v>-5</v>
      </c>
      <c r="E50" s="12" t="s">
        <v>32</v>
      </c>
      <c r="F50" s="11">
        <v>1</v>
      </c>
      <c r="G50" s="11">
        <v>0.52202612499240797</v>
      </c>
      <c r="H50" s="12" t="s">
        <v>33</v>
      </c>
      <c r="I50" s="11">
        <v>48</v>
      </c>
      <c r="J50" s="11">
        <v>0</v>
      </c>
      <c r="K50" s="11">
        <v>48</v>
      </c>
      <c r="L50" s="11">
        <v>0</v>
      </c>
      <c r="M50" s="11">
        <v>82.646306499955202</v>
      </c>
      <c r="N50" s="13"/>
      <c r="O50" s="11">
        <v>82.639094041951495</v>
      </c>
      <c r="P50" s="11">
        <v>82.646306499955202</v>
      </c>
      <c r="Q50" s="11">
        <v>83.636653249966898</v>
      </c>
      <c r="R50" s="11">
        <v>83.640225041948696</v>
      </c>
      <c r="S50" s="11">
        <v>84.171972124953797</v>
      </c>
      <c r="T50" s="11">
        <v>-5</v>
      </c>
      <c r="U50" s="12" t="s">
        <v>32</v>
      </c>
      <c r="V50" s="11">
        <v>1</v>
      </c>
      <c r="W50" s="11">
        <v>0.52202612499240797</v>
      </c>
      <c r="X50" s="12" t="s">
        <v>33</v>
      </c>
      <c r="Y50" s="11">
        <v>1</v>
      </c>
      <c r="Z50" s="11">
        <v>1</v>
      </c>
      <c r="AA50" s="12" t="s">
        <v>34</v>
      </c>
      <c r="AB50" s="12" t="s">
        <v>35</v>
      </c>
      <c r="AC50" s="13"/>
      <c r="AD50" s="12" t="s">
        <v>36</v>
      </c>
      <c r="AE50" s="12" t="s">
        <v>33</v>
      </c>
      <c r="AF50" s="12" t="s">
        <v>37</v>
      </c>
      <c r="AG50" s="13"/>
    </row>
    <row r="51" spans="1:33" ht="20" customHeight="1" x14ac:dyDescent="0.15">
      <c r="A51" s="9">
        <v>49</v>
      </c>
      <c r="B51" s="10">
        <v>0</v>
      </c>
      <c r="C51" s="11">
        <v>49</v>
      </c>
      <c r="D51" s="11">
        <v>0</v>
      </c>
      <c r="E51" s="12" t="s">
        <v>38</v>
      </c>
      <c r="F51" s="11">
        <v>1</v>
      </c>
      <c r="G51" s="11">
        <v>0.65655837499070901</v>
      </c>
      <c r="H51" s="12" t="s">
        <v>33</v>
      </c>
      <c r="I51" s="11">
        <v>49</v>
      </c>
      <c r="J51" s="11">
        <v>0</v>
      </c>
      <c r="K51" s="11">
        <v>49</v>
      </c>
      <c r="L51" s="11">
        <v>0</v>
      </c>
      <c r="M51" s="11">
        <v>84.179801833000994</v>
      </c>
      <c r="N51" s="13"/>
      <c r="O51" s="11">
        <v>84.172388666949701</v>
      </c>
      <c r="P51" s="11">
        <v>84.179801833000994</v>
      </c>
      <c r="Q51" s="11">
        <v>85.170074416964795</v>
      </c>
      <c r="R51" s="11">
        <v>85.173663583002096</v>
      </c>
      <c r="S51" s="11">
        <v>85.838641499984107</v>
      </c>
      <c r="T51" s="11">
        <v>0</v>
      </c>
      <c r="U51" s="12" t="s">
        <v>38</v>
      </c>
      <c r="V51" s="11">
        <v>1</v>
      </c>
      <c r="W51" s="11">
        <v>0.65655837499070901</v>
      </c>
      <c r="X51" s="12" t="s">
        <v>33</v>
      </c>
      <c r="Y51" s="11">
        <v>1</v>
      </c>
      <c r="Z51" s="11">
        <v>1</v>
      </c>
      <c r="AA51" s="12" t="s">
        <v>34</v>
      </c>
      <c r="AB51" s="12" t="s">
        <v>35</v>
      </c>
      <c r="AC51" s="13"/>
      <c r="AD51" s="12" t="s">
        <v>36</v>
      </c>
      <c r="AE51" s="12" t="s">
        <v>33</v>
      </c>
      <c r="AF51" s="12" t="s">
        <v>37</v>
      </c>
      <c r="AG51" s="13"/>
    </row>
    <row r="52" spans="1:33" ht="20" customHeight="1" x14ac:dyDescent="0.15">
      <c r="A52" s="9">
        <v>50</v>
      </c>
      <c r="B52" s="10">
        <v>0</v>
      </c>
      <c r="C52" s="11">
        <v>50</v>
      </c>
      <c r="D52" s="11">
        <v>0</v>
      </c>
      <c r="E52" s="12" t="s">
        <v>32</v>
      </c>
      <c r="F52" s="11">
        <v>0</v>
      </c>
      <c r="G52" s="11">
        <v>0.662863373989239</v>
      </c>
      <c r="H52" s="12" t="s">
        <v>33</v>
      </c>
      <c r="I52" s="11">
        <v>50</v>
      </c>
      <c r="J52" s="11">
        <v>0</v>
      </c>
      <c r="K52" s="11">
        <v>50</v>
      </c>
      <c r="L52" s="11">
        <v>0</v>
      </c>
      <c r="M52" s="11">
        <v>85.8466721249861</v>
      </c>
      <c r="N52" s="13"/>
      <c r="O52" s="11">
        <v>85.839146582991802</v>
      </c>
      <c r="P52" s="11">
        <v>85.8466721249861</v>
      </c>
      <c r="Q52" s="11">
        <v>86.836807999992701</v>
      </c>
      <c r="R52" s="11">
        <v>86.840503207989997</v>
      </c>
      <c r="S52" s="11">
        <v>87.504987999971505</v>
      </c>
      <c r="T52" s="11">
        <v>0</v>
      </c>
      <c r="U52" s="12" t="s">
        <v>32</v>
      </c>
      <c r="V52" s="11">
        <v>0</v>
      </c>
      <c r="W52" s="11">
        <v>0.662863373989239</v>
      </c>
      <c r="X52" s="12" t="s">
        <v>33</v>
      </c>
      <c r="Y52" s="11">
        <v>1</v>
      </c>
      <c r="Z52" s="11">
        <v>1</v>
      </c>
      <c r="AA52" s="12" t="s">
        <v>34</v>
      </c>
      <c r="AB52" s="12" t="s">
        <v>35</v>
      </c>
      <c r="AC52" s="13"/>
      <c r="AD52" s="12" t="s">
        <v>36</v>
      </c>
      <c r="AE52" s="12" t="s">
        <v>33</v>
      </c>
      <c r="AF52" s="12" t="s">
        <v>37</v>
      </c>
      <c r="AG52" s="13"/>
    </row>
    <row r="53" spans="1:33" ht="20" customHeight="1" x14ac:dyDescent="0.15">
      <c r="A53" s="9">
        <v>51</v>
      </c>
      <c r="B53" s="10">
        <v>0</v>
      </c>
      <c r="C53" s="11">
        <v>51</v>
      </c>
      <c r="D53" s="11">
        <v>0</v>
      </c>
      <c r="E53" s="12" t="s">
        <v>38</v>
      </c>
      <c r="F53" s="11">
        <v>1</v>
      </c>
      <c r="G53" s="11">
        <v>0.789168125018477</v>
      </c>
      <c r="H53" s="12" t="s">
        <v>33</v>
      </c>
      <c r="I53" s="11">
        <v>51</v>
      </c>
      <c r="J53" s="11">
        <v>0</v>
      </c>
      <c r="K53" s="11">
        <v>51</v>
      </c>
      <c r="L53" s="11">
        <v>0</v>
      </c>
      <c r="M53" s="11">
        <v>87.512346167000899</v>
      </c>
      <c r="N53" s="13"/>
      <c r="O53" s="11">
        <v>87.505430374992997</v>
      </c>
      <c r="P53" s="11">
        <v>87.512346167000899</v>
      </c>
      <c r="Q53" s="11">
        <v>88.503349124977802</v>
      </c>
      <c r="R53" s="11">
        <v>88.506941582949395</v>
      </c>
      <c r="S53" s="11">
        <v>89.305384207982598</v>
      </c>
      <c r="T53" s="11">
        <v>0</v>
      </c>
      <c r="U53" s="12" t="s">
        <v>38</v>
      </c>
      <c r="V53" s="11">
        <v>1</v>
      </c>
      <c r="W53" s="11">
        <v>0.789168125018477</v>
      </c>
      <c r="X53" s="12" t="s">
        <v>33</v>
      </c>
      <c r="Y53" s="11">
        <v>1</v>
      </c>
      <c r="Z53" s="11">
        <v>1</v>
      </c>
      <c r="AA53" s="12" t="s">
        <v>34</v>
      </c>
      <c r="AB53" s="12" t="s">
        <v>35</v>
      </c>
      <c r="AC53" s="13"/>
      <c r="AD53" s="12" t="s">
        <v>36</v>
      </c>
      <c r="AE53" s="12" t="s">
        <v>33</v>
      </c>
      <c r="AF53" s="12" t="s">
        <v>37</v>
      </c>
      <c r="AG53" s="13"/>
    </row>
    <row r="54" spans="1:33" ht="20" customHeight="1" x14ac:dyDescent="0.15">
      <c r="A54" s="9">
        <v>52</v>
      </c>
      <c r="B54" s="10">
        <v>0</v>
      </c>
      <c r="C54" s="11">
        <v>52</v>
      </c>
      <c r="D54" s="11">
        <v>-3</v>
      </c>
      <c r="E54" s="12" t="s">
        <v>32</v>
      </c>
      <c r="F54" s="11">
        <v>1</v>
      </c>
      <c r="G54" s="11">
        <v>0.80804749997332703</v>
      </c>
      <c r="H54" s="12" t="s">
        <v>33</v>
      </c>
      <c r="I54" s="11">
        <v>52</v>
      </c>
      <c r="J54" s="11">
        <v>0</v>
      </c>
      <c r="K54" s="11">
        <v>52</v>
      </c>
      <c r="L54" s="11">
        <v>0</v>
      </c>
      <c r="M54" s="11">
        <v>89.313479041971704</v>
      </c>
      <c r="N54" s="13"/>
      <c r="O54" s="11">
        <v>89.305976374947903</v>
      </c>
      <c r="P54" s="11">
        <v>89.313479041971704</v>
      </c>
      <c r="Q54" s="11">
        <v>90.303325207962203</v>
      </c>
      <c r="R54" s="11">
        <v>90.307073000003598</v>
      </c>
      <c r="S54" s="11">
        <v>91.122427124995696</v>
      </c>
      <c r="T54" s="11">
        <v>-3</v>
      </c>
      <c r="U54" s="12" t="s">
        <v>32</v>
      </c>
      <c r="V54" s="11">
        <v>1</v>
      </c>
      <c r="W54" s="11">
        <v>0.80804749997332703</v>
      </c>
      <c r="X54" s="12" t="s">
        <v>33</v>
      </c>
      <c r="Y54" s="11">
        <v>1</v>
      </c>
      <c r="Z54" s="11">
        <v>1</v>
      </c>
      <c r="AA54" s="12" t="s">
        <v>34</v>
      </c>
      <c r="AB54" s="12" t="s">
        <v>35</v>
      </c>
      <c r="AC54" s="13"/>
      <c r="AD54" s="12" t="s">
        <v>36</v>
      </c>
      <c r="AE54" s="12" t="s">
        <v>33</v>
      </c>
      <c r="AF54" s="12" t="s">
        <v>37</v>
      </c>
      <c r="AG54" s="13"/>
    </row>
    <row r="55" spans="1:33" ht="20" customHeight="1" x14ac:dyDescent="0.15">
      <c r="A55" s="9">
        <v>53</v>
      </c>
      <c r="B55" s="10">
        <v>0</v>
      </c>
      <c r="C55" s="11">
        <v>53</v>
      </c>
      <c r="D55" s="11">
        <v>0</v>
      </c>
      <c r="E55" s="12" t="s">
        <v>32</v>
      </c>
      <c r="F55" s="11">
        <v>0</v>
      </c>
      <c r="G55" s="11">
        <v>0.810348083032295</v>
      </c>
      <c r="H55" s="12" t="s">
        <v>33</v>
      </c>
      <c r="I55" s="11">
        <v>53</v>
      </c>
      <c r="J55" s="11">
        <v>0</v>
      </c>
      <c r="K55" s="11">
        <v>53</v>
      </c>
      <c r="L55" s="11">
        <v>0</v>
      </c>
      <c r="M55" s="11">
        <v>91.130694249994093</v>
      </c>
      <c r="N55" s="13"/>
      <c r="O55" s="11">
        <v>91.122997707978399</v>
      </c>
      <c r="P55" s="11">
        <v>91.130694249994093</v>
      </c>
      <c r="Q55" s="11">
        <v>92.120069791970295</v>
      </c>
      <c r="R55" s="11">
        <v>92.124049874953897</v>
      </c>
      <c r="S55" s="11">
        <v>92.938386666995896</v>
      </c>
      <c r="T55" s="11">
        <v>0</v>
      </c>
      <c r="U55" s="12" t="s">
        <v>32</v>
      </c>
      <c r="V55" s="11">
        <v>0</v>
      </c>
      <c r="W55" s="11">
        <v>0.810348083032295</v>
      </c>
      <c r="X55" s="12" t="s">
        <v>33</v>
      </c>
      <c r="Y55" s="11">
        <v>1</v>
      </c>
      <c r="Z55" s="11">
        <v>1</v>
      </c>
      <c r="AA55" s="12" t="s">
        <v>34</v>
      </c>
      <c r="AB55" s="12" t="s">
        <v>35</v>
      </c>
      <c r="AC55" s="13"/>
      <c r="AD55" s="12" t="s">
        <v>36</v>
      </c>
      <c r="AE55" s="12" t="s">
        <v>33</v>
      </c>
      <c r="AF55" s="12" t="s">
        <v>37</v>
      </c>
      <c r="AG55" s="13"/>
    </row>
    <row r="56" spans="1:33" ht="20" customHeight="1" x14ac:dyDescent="0.15">
      <c r="A56" s="9">
        <v>54</v>
      </c>
      <c r="B56" s="10">
        <v>0</v>
      </c>
      <c r="C56" s="11">
        <v>54</v>
      </c>
      <c r="D56" s="11">
        <v>0</v>
      </c>
      <c r="E56" s="12" t="s">
        <v>38</v>
      </c>
      <c r="F56" s="11">
        <v>1</v>
      </c>
      <c r="G56" s="11">
        <v>0.62445145798847101</v>
      </c>
      <c r="H56" s="12" t="s">
        <v>33</v>
      </c>
      <c r="I56" s="11">
        <v>54</v>
      </c>
      <c r="J56" s="11">
        <v>0</v>
      </c>
      <c r="K56" s="11">
        <v>54</v>
      </c>
      <c r="L56" s="11">
        <v>0</v>
      </c>
      <c r="M56" s="11">
        <v>92.946106666990104</v>
      </c>
      <c r="N56" s="13"/>
      <c r="O56" s="11">
        <v>92.938795999973095</v>
      </c>
      <c r="P56" s="11">
        <v>92.946106666990104</v>
      </c>
      <c r="Q56" s="11">
        <v>93.936935207981193</v>
      </c>
      <c r="R56" s="11">
        <v>93.941794291953599</v>
      </c>
      <c r="S56" s="11">
        <v>94.572085249994402</v>
      </c>
      <c r="T56" s="11">
        <v>0</v>
      </c>
      <c r="U56" s="12" t="s">
        <v>38</v>
      </c>
      <c r="V56" s="11">
        <v>1</v>
      </c>
      <c r="W56" s="11">
        <v>0.62445145798847101</v>
      </c>
      <c r="X56" s="12" t="s">
        <v>33</v>
      </c>
      <c r="Y56" s="11">
        <v>1</v>
      </c>
      <c r="Z56" s="11">
        <v>1</v>
      </c>
      <c r="AA56" s="12" t="s">
        <v>34</v>
      </c>
      <c r="AB56" s="12" t="s">
        <v>35</v>
      </c>
      <c r="AC56" s="13"/>
      <c r="AD56" s="12" t="s">
        <v>36</v>
      </c>
      <c r="AE56" s="12" t="s">
        <v>33</v>
      </c>
      <c r="AF56" s="12" t="s">
        <v>37</v>
      </c>
      <c r="AG56" s="13"/>
    </row>
    <row r="57" spans="1:33" ht="20" customHeight="1" x14ac:dyDescent="0.15">
      <c r="A57" s="9">
        <v>55</v>
      </c>
      <c r="B57" s="10">
        <v>0</v>
      </c>
      <c r="C57" s="11">
        <v>55</v>
      </c>
      <c r="D57" s="11">
        <v>2</v>
      </c>
      <c r="E57" s="12" t="s">
        <v>32</v>
      </c>
      <c r="F57" s="11">
        <v>1</v>
      </c>
      <c r="G57" s="11">
        <v>0.66936708299908798</v>
      </c>
      <c r="H57" s="12" t="s">
        <v>33</v>
      </c>
      <c r="I57" s="11">
        <v>55</v>
      </c>
      <c r="J57" s="11">
        <v>0</v>
      </c>
      <c r="K57" s="11">
        <v>55</v>
      </c>
      <c r="L57" s="11">
        <v>0</v>
      </c>
      <c r="M57" s="11">
        <v>94.580496207985604</v>
      </c>
      <c r="N57" s="13"/>
      <c r="O57" s="11">
        <v>94.5728970829514</v>
      </c>
      <c r="P57" s="11">
        <v>94.580496207985604</v>
      </c>
      <c r="Q57" s="11">
        <v>95.570038624980995</v>
      </c>
      <c r="R57" s="11">
        <v>95.573632666957593</v>
      </c>
      <c r="S57" s="11">
        <v>96.241357749968302</v>
      </c>
      <c r="T57" s="11">
        <v>2</v>
      </c>
      <c r="U57" s="12" t="s">
        <v>32</v>
      </c>
      <c r="V57" s="11">
        <v>1</v>
      </c>
      <c r="W57" s="11">
        <v>0.66936708299908798</v>
      </c>
      <c r="X57" s="12" t="s">
        <v>33</v>
      </c>
      <c r="Y57" s="11">
        <v>1</v>
      </c>
      <c r="Z57" s="11">
        <v>1</v>
      </c>
      <c r="AA57" s="12" t="s">
        <v>34</v>
      </c>
      <c r="AB57" s="12" t="s">
        <v>35</v>
      </c>
      <c r="AC57" s="13"/>
      <c r="AD57" s="12" t="s">
        <v>36</v>
      </c>
      <c r="AE57" s="12" t="s">
        <v>33</v>
      </c>
      <c r="AF57" s="12" t="s">
        <v>37</v>
      </c>
      <c r="AG57" s="13"/>
    </row>
    <row r="58" spans="1:33" ht="20" customHeight="1" x14ac:dyDescent="0.15">
      <c r="A58" s="9">
        <v>56</v>
      </c>
      <c r="B58" s="10">
        <v>0</v>
      </c>
      <c r="C58" s="11">
        <v>56</v>
      </c>
      <c r="D58" s="11">
        <v>0</v>
      </c>
      <c r="E58" s="12" t="s">
        <v>32</v>
      </c>
      <c r="F58" s="11">
        <v>0</v>
      </c>
      <c r="G58" s="11">
        <v>0.73579720803536497</v>
      </c>
      <c r="H58" s="12" t="s">
        <v>33</v>
      </c>
      <c r="I58" s="11">
        <v>56</v>
      </c>
      <c r="J58" s="11">
        <v>0</v>
      </c>
      <c r="K58" s="11">
        <v>56</v>
      </c>
      <c r="L58" s="11">
        <v>0</v>
      </c>
      <c r="M58" s="11">
        <v>96.2534127079998</v>
      </c>
      <c r="N58" s="13"/>
      <c r="O58" s="11">
        <v>96.241747291991501</v>
      </c>
      <c r="P58" s="11">
        <v>96.2534127079998</v>
      </c>
      <c r="Q58" s="11">
        <v>97.237390166963493</v>
      </c>
      <c r="R58" s="11">
        <v>97.241760707984199</v>
      </c>
      <c r="S58" s="11">
        <v>97.974656749982401</v>
      </c>
      <c r="T58" s="11">
        <v>0</v>
      </c>
      <c r="U58" s="12" t="s">
        <v>32</v>
      </c>
      <c r="V58" s="11">
        <v>0</v>
      </c>
      <c r="W58" s="11">
        <v>0.73579720803536497</v>
      </c>
      <c r="X58" s="12" t="s">
        <v>33</v>
      </c>
      <c r="Y58" s="11">
        <v>1</v>
      </c>
      <c r="Z58" s="11">
        <v>1</v>
      </c>
      <c r="AA58" s="12" t="s">
        <v>34</v>
      </c>
      <c r="AB58" s="12" t="s">
        <v>35</v>
      </c>
      <c r="AC58" s="13"/>
      <c r="AD58" s="12" t="s">
        <v>36</v>
      </c>
      <c r="AE58" s="12" t="s">
        <v>33</v>
      </c>
      <c r="AF58" s="12" t="s">
        <v>37</v>
      </c>
      <c r="AG58" s="13"/>
    </row>
    <row r="59" spans="1:33" ht="20" customHeight="1" x14ac:dyDescent="0.15">
      <c r="A59" s="9">
        <v>57</v>
      </c>
      <c r="B59" s="10">
        <v>0</v>
      </c>
      <c r="C59" s="11">
        <v>57</v>
      </c>
      <c r="D59" s="11">
        <v>0</v>
      </c>
      <c r="E59" s="12" t="s">
        <v>38</v>
      </c>
      <c r="F59" s="11">
        <v>1</v>
      </c>
      <c r="G59" s="11">
        <v>0.54043262504274003</v>
      </c>
      <c r="H59" s="12" t="s">
        <v>33</v>
      </c>
      <c r="I59" s="11">
        <v>57</v>
      </c>
      <c r="J59" s="11">
        <v>0</v>
      </c>
      <c r="K59" s="11">
        <v>57</v>
      </c>
      <c r="L59" s="11">
        <v>0</v>
      </c>
      <c r="M59" s="11">
        <v>97.986711749981595</v>
      </c>
      <c r="N59" s="13"/>
      <c r="O59" s="11">
        <v>97.975071124965297</v>
      </c>
      <c r="P59" s="11">
        <v>97.986711749981595</v>
      </c>
      <c r="Q59" s="11">
        <v>98.9738473749603</v>
      </c>
      <c r="R59" s="11">
        <v>98.9738473749603</v>
      </c>
      <c r="S59" s="11">
        <v>99.521789916965602</v>
      </c>
      <c r="T59" s="11">
        <v>0</v>
      </c>
      <c r="U59" s="12" t="s">
        <v>38</v>
      </c>
      <c r="V59" s="11">
        <v>1</v>
      </c>
      <c r="W59" s="11">
        <v>0.54043262504274003</v>
      </c>
      <c r="X59" s="12" t="s">
        <v>33</v>
      </c>
      <c r="Y59" s="11">
        <v>1</v>
      </c>
      <c r="Z59" s="11">
        <v>1</v>
      </c>
      <c r="AA59" s="12" t="s">
        <v>34</v>
      </c>
      <c r="AB59" s="12" t="s">
        <v>35</v>
      </c>
      <c r="AC59" s="13"/>
      <c r="AD59" s="12" t="s">
        <v>36</v>
      </c>
      <c r="AE59" s="12" t="s">
        <v>33</v>
      </c>
      <c r="AF59" s="12" t="s">
        <v>37</v>
      </c>
      <c r="AG59" s="13"/>
    </row>
    <row r="60" spans="1:33" ht="20" customHeight="1" x14ac:dyDescent="0.15">
      <c r="A60" s="9">
        <v>58</v>
      </c>
      <c r="B60" s="10">
        <v>0</v>
      </c>
      <c r="C60" s="11">
        <v>58</v>
      </c>
      <c r="D60" s="11">
        <v>0</v>
      </c>
      <c r="E60" s="12" t="s">
        <v>32</v>
      </c>
      <c r="F60" s="11">
        <v>0</v>
      </c>
      <c r="G60" s="11">
        <v>0.79536691698012896</v>
      </c>
      <c r="H60" s="12" t="s">
        <v>33</v>
      </c>
      <c r="I60" s="11">
        <v>58</v>
      </c>
      <c r="J60" s="11">
        <v>0</v>
      </c>
      <c r="K60" s="11">
        <v>58</v>
      </c>
      <c r="L60" s="11">
        <v>0</v>
      </c>
      <c r="M60" s="11">
        <v>99.529730749956798</v>
      </c>
      <c r="N60" s="13"/>
      <c r="O60" s="11">
        <v>99.522328207967803</v>
      </c>
      <c r="P60" s="11">
        <v>99.529730749956798</v>
      </c>
      <c r="Q60" s="11">
        <v>100.51989895798</v>
      </c>
      <c r="R60" s="11">
        <v>100.523483541969</v>
      </c>
      <c r="S60" s="11">
        <v>101.322044125001</v>
      </c>
      <c r="T60" s="11">
        <v>0</v>
      </c>
      <c r="U60" s="12" t="s">
        <v>32</v>
      </c>
      <c r="V60" s="11">
        <v>0</v>
      </c>
      <c r="W60" s="11">
        <v>0.79536691698012896</v>
      </c>
      <c r="X60" s="12" t="s">
        <v>33</v>
      </c>
      <c r="Y60" s="11">
        <v>1</v>
      </c>
      <c r="Z60" s="11">
        <v>1</v>
      </c>
      <c r="AA60" s="12" t="s">
        <v>34</v>
      </c>
      <c r="AB60" s="12" t="s">
        <v>35</v>
      </c>
      <c r="AC60" s="13"/>
      <c r="AD60" s="12" t="s">
        <v>36</v>
      </c>
      <c r="AE60" s="12" t="s">
        <v>33</v>
      </c>
      <c r="AF60" s="12" t="s">
        <v>37</v>
      </c>
      <c r="AG60" s="13"/>
    </row>
    <row r="61" spans="1:33" ht="20" customHeight="1" x14ac:dyDescent="0.15">
      <c r="A61" s="9">
        <v>59</v>
      </c>
      <c r="B61" s="10">
        <v>0</v>
      </c>
      <c r="C61" s="11">
        <v>59</v>
      </c>
      <c r="D61" s="11">
        <v>0</v>
      </c>
      <c r="E61" s="12" t="s">
        <v>32</v>
      </c>
      <c r="F61" s="11">
        <v>0</v>
      </c>
      <c r="G61" s="11">
        <v>0.794133416027762</v>
      </c>
      <c r="H61" s="12" t="s">
        <v>33</v>
      </c>
      <c r="I61" s="11">
        <v>59</v>
      </c>
      <c r="J61" s="11">
        <v>0</v>
      </c>
      <c r="K61" s="11">
        <v>59</v>
      </c>
      <c r="L61" s="11">
        <v>0</v>
      </c>
      <c r="M61" s="11">
        <v>101.330197791976</v>
      </c>
      <c r="N61" s="13"/>
      <c r="O61" s="11">
        <v>101.322573832993</v>
      </c>
      <c r="P61" s="11">
        <v>101.330197791976</v>
      </c>
      <c r="Q61" s="11">
        <v>102.320016624988</v>
      </c>
      <c r="R61" s="11">
        <v>102.323772999982</v>
      </c>
      <c r="S61" s="11">
        <v>103.121963166981</v>
      </c>
      <c r="T61" s="11">
        <v>0</v>
      </c>
      <c r="U61" s="12" t="s">
        <v>32</v>
      </c>
      <c r="V61" s="11">
        <v>0</v>
      </c>
      <c r="W61" s="11">
        <v>0.794133416027762</v>
      </c>
      <c r="X61" s="12" t="s">
        <v>33</v>
      </c>
      <c r="Y61" s="11">
        <v>1</v>
      </c>
      <c r="Z61" s="11">
        <v>1</v>
      </c>
      <c r="AA61" s="12" t="s">
        <v>34</v>
      </c>
      <c r="AB61" s="12" t="s">
        <v>35</v>
      </c>
      <c r="AC61" s="13"/>
      <c r="AD61" s="12" t="s">
        <v>36</v>
      </c>
      <c r="AE61" s="12" t="s">
        <v>33</v>
      </c>
      <c r="AF61" s="12" t="s">
        <v>37</v>
      </c>
      <c r="AG61" s="13"/>
    </row>
    <row r="62" spans="1:33" ht="20" customHeight="1" x14ac:dyDescent="0.15">
      <c r="A62" s="9">
        <v>60</v>
      </c>
      <c r="B62" s="10">
        <v>0</v>
      </c>
      <c r="C62" s="11">
        <v>60</v>
      </c>
      <c r="D62" s="11">
        <v>0</v>
      </c>
      <c r="E62" s="12" t="s">
        <v>32</v>
      </c>
      <c r="F62" s="11">
        <v>0</v>
      </c>
      <c r="G62" s="11">
        <v>0.71222254203166802</v>
      </c>
      <c r="H62" s="12" t="s">
        <v>33</v>
      </c>
      <c r="I62" s="11">
        <v>60</v>
      </c>
      <c r="J62" s="11">
        <v>0</v>
      </c>
      <c r="K62" s="11">
        <v>60</v>
      </c>
      <c r="L62" s="11">
        <v>0</v>
      </c>
      <c r="M62" s="11">
        <v>103.129717666947</v>
      </c>
      <c r="N62" s="13"/>
      <c r="O62" s="11">
        <v>103.12240670796</v>
      </c>
      <c r="P62" s="11">
        <v>103.129717666947</v>
      </c>
      <c r="Q62" s="11">
        <v>104.11999483295899</v>
      </c>
      <c r="R62" s="11">
        <v>104.123636999982</v>
      </c>
      <c r="S62" s="11">
        <v>104.83846833295</v>
      </c>
      <c r="T62" s="11">
        <v>0</v>
      </c>
      <c r="U62" s="12" t="s">
        <v>32</v>
      </c>
      <c r="V62" s="11">
        <v>0</v>
      </c>
      <c r="W62" s="11">
        <v>0.71222254203166802</v>
      </c>
      <c r="X62" s="12" t="s">
        <v>33</v>
      </c>
      <c r="Y62" s="11">
        <v>1</v>
      </c>
      <c r="Z62" s="11">
        <v>1</v>
      </c>
      <c r="AA62" s="12" t="s">
        <v>34</v>
      </c>
      <c r="AB62" s="12" t="s">
        <v>35</v>
      </c>
      <c r="AC62" s="13"/>
      <c r="AD62" s="12" t="s">
        <v>36</v>
      </c>
      <c r="AE62" s="12" t="s">
        <v>33</v>
      </c>
      <c r="AF62" s="12" t="s">
        <v>37</v>
      </c>
      <c r="AG62" s="13"/>
    </row>
    <row r="63" spans="1:33" ht="20" customHeight="1" x14ac:dyDescent="0.15">
      <c r="A63" s="9">
        <v>61</v>
      </c>
      <c r="B63" s="10">
        <v>0</v>
      </c>
      <c r="C63" s="11">
        <v>61</v>
      </c>
      <c r="D63" s="11">
        <v>2</v>
      </c>
      <c r="E63" s="12" t="s">
        <v>32</v>
      </c>
      <c r="F63" s="11">
        <v>1</v>
      </c>
      <c r="G63" s="11">
        <v>0.84842383302748203</v>
      </c>
      <c r="H63" s="12" t="s">
        <v>33</v>
      </c>
      <c r="I63" s="11">
        <v>61</v>
      </c>
      <c r="J63" s="11">
        <v>0</v>
      </c>
      <c r="K63" s="11">
        <v>61</v>
      </c>
      <c r="L63" s="11">
        <v>0</v>
      </c>
      <c r="M63" s="11">
        <v>104.846587499953</v>
      </c>
      <c r="N63" s="13"/>
      <c r="O63" s="11">
        <v>104.839045832981</v>
      </c>
      <c r="P63" s="11">
        <v>104.846587499953</v>
      </c>
      <c r="Q63" s="11">
        <v>105.836656500003</v>
      </c>
      <c r="R63" s="11">
        <v>105.84035462496099</v>
      </c>
      <c r="S63" s="11">
        <v>106.689120666997</v>
      </c>
      <c r="T63" s="11">
        <v>2</v>
      </c>
      <c r="U63" s="12" t="s">
        <v>32</v>
      </c>
      <c r="V63" s="11">
        <v>1</v>
      </c>
      <c r="W63" s="11">
        <v>0.84842383302748203</v>
      </c>
      <c r="X63" s="12" t="s">
        <v>33</v>
      </c>
      <c r="Y63" s="11">
        <v>1</v>
      </c>
      <c r="Z63" s="11">
        <v>1</v>
      </c>
      <c r="AA63" s="12" t="s">
        <v>34</v>
      </c>
      <c r="AB63" s="12" t="s">
        <v>35</v>
      </c>
      <c r="AC63" s="13"/>
      <c r="AD63" s="12" t="s">
        <v>36</v>
      </c>
      <c r="AE63" s="12" t="s">
        <v>33</v>
      </c>
      <c r="AF63" s="12" t="s">
        <v>37</v>
      </c>
      <c r="AG63" s="13"/>
    </row>
    <row r="64" spans="1:33" ht="20" customHeight="1" x14ac:dyDescent="0.15">
      <c r="A64" s="9">
        <v>62</v>
      </c>
      <c r="B64" s="10">
        <v>0</v>
      </c>
      <c r="C64" s="11">
        <v>62</v>
      </c>
      <c r="D64" s="11">
        <v>2</v>
      </c>
      <c r="E64" s="12" t="s">
        <v>32</v>
      </c>
      <c r="F64" s="11">
        <v>1</v>
      </c>
      <c r="G64" s="11">
        <v>0.68735354201635401</v>
      </c>
      <c r="H64" s="12" t="s">
        <v>33</v>
      </c>
      <c r="I64" s="11">
        <v>62</v>
      </c>
      <c r="J64" s="11">
        <v>0</v>
      </c>
      <c r="K64" s="11">
        <v>62</v>
      </c>
      <c r="L64" s="11">
        <v>0</v>
      </c>
      <c r="M64" s="11">
        <v>106.693522874964</v>
      </c>
      <c r="N64" s="13"/>
      <c r="O64" s="11">
        <v>106.68971016700399</v>
      </c>
      <c r="P64" s="11">
        <v>106.693522874964</v>
      </c>
      <c r="Q64" s="11">
        <v>107.68666104198201</v>
      </c>
      <c r="R64" s="11">
        <v>107.689824041969</v>
      </c>
      <c r="S64" s="11">
        <v>108.388530583004</v>
      </c>
      <c r="T64" s="11">
        <v>2</v>
      </c>
      <c r="U64" s="12" t="s">
        <v>32</v>
      </c>
      <c r="V64" s="11">
        <v>1</v>
      </c>
      <c r="W64" s="11">
        <v>0.68735354201635401</v>
      </c>
      <c r="X64" s="12" t="s">
        <v>33</v>
      </c>
      <c r="Y64" s="11">
        <v>1</v>
      </c>
      <c r="Z64" s="11">
        <v>1</v>
      </c>
      <c r="AA64" s="12" t="s">
        <v>34</v>
      </c>
      <c r="AB64" s="12" t="s">
        <v>35</v>
      </c>
      <c r="AC64" s="13"/>
      <c r="AD64" s="12" t="s">
        <v>36</v>
      </c>
      <c r="AE64" s="12" t="s">
        <v>33</v>
      </c>
      <c r="AF64" s="12" t="s">
        <v>37</v>
      </c>
      <c r="AG64" s="13"/>
    </row>
    <row r="65" spans="1:33" ht="20" customHeight="1" x14ac:dyDescent="0.15">
      <c r="A65" s="9">
        <v>63</v>
      </c>
      <c r="B65" s="10">
        <v>0</v>
      </c>
      <c r="C65" s="11">
        <v>63</v>
      </c>
      <c r="D65" s="11">
        <v>2</v>
      </c>
      <c r="E65" s="12" t="s">
        <v>32</v>
      </c>
      <c r="F65" s="11">
        <v>1</v>
      </c>
      <c r="G65" s="11">
        <v>0.69943845801753901</v>
      </c>
      <c r="H65" s="12" t="s">
        <v>33</v>
      </c>
      <c r="I65" s="11">
        <v>63</v>
      </c>
      <c r="J65" s="11">
        <v>0</v>
      </c>
      <c r="K65" s="11">
        <v>63</v>
      </c>
      <c r="L65" s="11">
        <v>0</v>
      </c>
      <c r="M65" s="11">
        <v>108.39619304199</v>
      </c>
      <c r="N65" s="13"/>
      <c r="O65" s="11">
        <v>108.38906812499</v>
      </c>
      <c r="P65" s="11">
        <v>108.39619304199</v>
      </c>
      <c r="Q65" s="11">
        <v>109.38657391700001</v>
      </c>
      <c r="R65" s="11">
        <v>109.39013291697501</v>
      </c>
      <c r="S65" s="11">
        <v>110.088380957954</v>
      </c>
      <c r="T65" s="11">
        <v>2</v>
      </c>
      <c r="U65" s="12" t="s">
        <v>32</v>
      </c>
      <c r="V65" s="11">
        <v>1</v>
      </c>
      <c r="W65" s="11">
        <v>0.69943845801753901</v>
      </c>
      <c r="X65" s="12" t="s">
        <v>33</v>
      </c>
      <c r="Y65" s="11">
        <v>1</v>
      </c>
      <c r="Z65" s="11">
        <v>1</v>
      </c>
      <c r="AA65" s="12" t="s">
        <v>34</v>
      </c>
      <c r="AB65" s="12" t="s">
        <v>35</v>
      </c>
      <c r="AC65" s="13"/>
      <c r="AD65" s="12" t="s">
        <v>36</v>
      </c>
      <c r="AE65" s="12" t="s">
        <v>33</v>
      </c>
      <c r="AF65" s="12" t="s">
        <v>37</v>
      </c>
      <c r="AG65" s="13"/>
    </row>
    <row r="66" spans="1:33" ht="20" customHeight="1" x14ac:dyDescent="0.15">
      <c r="A66" s="9">
        <v>64</v>
      </c>
      <c r="B66" s="10">
        <v>0</v>
      </c>
      <c r="C66" s="11">
        <v>64</v>
      </c>
      <c r="D66" s="11">
        <v>0</v>
      </c>
      <c r="E66" s="12" t="s">
        <v>32</v>
      </c>
      <c r="F66" s="11">
        <v>0</v>
      </c>
      <c r="G66" s="11">
        <v>0.80331475002458297</v>
      </c>
      <c r="H66" s="12" t="s">
        <v>33</v>
      </c>
      <c r="I66" s="11">
        <v>64</v>
      </c>
      <c r="J66" s="11">
        <v>0</v>
      </c>
      <c r="K66" s="11">
        <v>64</v>
      </c>
      <c r="L66" s="11">
        <v>0</v>
      </c>
      <c r="M66" s="11">
        <v>110.09269662498301</v>
      </c>
      <c r="N66" s="13"/>
      <c r="O66" s="11">
        <v>110.08881033299301</v>
      </c>
      <c r="P66" s="11">
        <v>110.09269662498301</v>
      </c>
      <c r="Q66" s="11">
        <v>111.086617874971</v>
      </c>
      <c r="R66" s="11">
        <v>111.09079779195601</v>
      </c>
      <c r="S66" s="11">
        <v>111.891232416965</v>
      </c>
      <c r="T66" s="11">
        <v>0</v>
      </c>
      <c r="U66" s="12" t="s">
        <v>32</v>
      </c>
      <c r="V66" s="11">
        <v>0</v>
      </c>
      <c r="W66" s="11">
        <v>0.80331475002458297</v>
      </c>
      <c r="X66" s="12" t="s">
        <v>33</v>
      </c>
      <c r="Y66" s="11">
        <v>1</v>
      </c>
      <c r="Z66" s="11">
        <v>1</v>
      </c>
      <c r="AA66" s="12" t="s">
        <v>34</v>
      </c>
      <c r="AB66" s="12" t="s">
        <v>35</v>
      </c>
      <c r="AC66" s="13"/>
      <c r="AD66" s="12" t="s">
        <v>36</v>
      </c>
      <c r="AE66" s="12" t="s">
        <v>33</v>
      </c>
      <c r="AF66" s="12" t="s">
        <v>37</v>
      </c>
      <c r="AG66" s="13"/>
    </row>
    <row r="67" spans="1:33" ht="20" customHeight="1" x14ac:dyDescent="0.15">
      <c r="A67" s="9">
        <v>65</v>
      </c>
      <c r="B67" s="10">
        <v>0</v>
      </c>
      <c r="C67" s="11">
        <v>65</v>
      </c>
      <c r="D67" s="11">
        <v>-5</v>
      </c>
      <c r="E67" s="12" t="s">
        <v>38</v>
      </c>
      <c r="F67" s="11">
        <v>0</v>
      </c>
      <c r="G67" s="11">
        <v>0.84958379203453704</v>
      </c>
      <c r="H67" s="12" t="s">
        <v>33</v>
      </c>
      <c r="I67" s="11">
        <v>65</v>
      </c>
      <c r="J67" s="11">
        <v>0</v>
      </c>
      <c r="K67" s="11">
        <v>65</v>
      </c>
      <c r="L67" s="11">
        <v>0</v>
      </c>
      <c r="M67" s="11">
        <v>111.903284</v>
      </c>
      <c r="N67" s="13"/>
      <c r="O67" s="11">
        <v>111.891710917</v>
      </c>
      <c r="P67" s="11">
        <v>111.903284</v>
      </c>
      <c r="Q67" s="11">
        <v>112.89037208299899</v>
      </c>
      <c r="R67" s="11">
        <v>112.89037208299899</v>
      </c>
      <c r="S67" s="11">
        <v>113.74125224997999</v>
      </c>
      <c r="T67" s="11">
        <v>-5</v>
      </c>
      <c r="U67" s="12" t="s">
        <v>38</v>
      </c>
      <c r="V67" s="11">
        <v>0</v>
      </c>
      <c r="W67" s="11">
        <v>0.84958379203453704</v>
      </c>
      <c r="X67" s="12" t="s">
        <v>33</v>
      </c>
      <c r="Y67" s="11">
        <v>1</v>
      </c>
      <c r="Z67" s="11">
        <v>1</v>
      </c>
      <c r="AA67" s="12" t="s">
        <v>34</v>
      </c>
      <c r="AB67" s="12" t="s">
        <v>35</v>
      </c>
      <c r="AC67" s="13"/>
      <c r="AD67" s="12" t="s">
        <v>36</v>
      </c>
      <c r="AE67" s="12" t="s">
        <v>33</v>
      </c>
      <c r="AF67" s="12" t="s">
        <v>37</v>
      </c>
      <c r="AG67" s="13"/>
    </row>
    <row r="68" spans="1:33" ht="20" customHeight="1" x14ac:dyDescent="0.15">
      <c r="A68" s="9">
        <v>66</v>
      </c>
      <c r="B68" s="10">
        <v>0</v>
      </c>
      <c r="C68" s="11">
        <v>66</v>
      </c>
      <c r="D68" s="11">
        <v>0</v>
      </c>
      <c r="E68" s="12" t="s">
        <v>38</v>
      </c>
      <c r="F68" s="11">
        <v>1</v>
      </c>
      <c r="G68" s="11">
        <v>0.75832679198356401</v>
      </c>
      <c r="H68" s="12" t="s">
        <v>33</v>
      </c>
      <c r="I68" s="11">
        <v>66</v>
      </c>
      <c r="J68" s="11">
        <v>0</v>
      </c>
      <c r="K68" s="11">
        <v>66</v>
      </c>
      <c r="L68" s="11">
        <v>0</v>
      </c>
      <c r="M68" s="11">
        <v>113.75338604196401</v>
      </c>
      <c r="N68" s="13"/>
      <c r="O68" s="11">
        <v>113.741640875</v>
      </c>
      <c r="P68" s="11">
        <v>113.75338604196401</v>
      </c>
      <c r="Q68" s="11">
        <v>114.736647791986</v>
      </c>
      <c r="R68" s="11">
        <v>114.740138374968</v>
      </c>
      <c r="S68" s="11">
        <v>115.505136082997</v>
      </c>
      <c r="T68" s="11">
        <v>0</v>
      </c>
      <c r="U68" s="12" t="s">
        <v>38</v>
      </c>
      <c r="V68" s="11">
        <v>1</v>
      </c>
      <c r="W68" s="11">
        <v>0.75832679198356401</v>
      </c>
      <c r="X68" s="12" t="s">
        <v>33</v>
      </c>
      <c r="Y68" s="11">
        <v>1</v>
      </c>
      <c r="Z68" s="11">
        <v>1</v>
      </c>
      <c r="AA68" s="12" t="s">
        <v>34</v>
      </c>
      <c r="AB68" s="12" t="s">
        <v>35</v>
      </c>
      <c r="AC68" s="13"/>
      <c r="AD68" s="12" t="s">
        <v>36</v>
      </c>
      <c r="AE68" s="12" t="s">
        <v>33</v>
      </c>
      <c r="AF68" s="12" t="s">
        <v>37</v>
      </c>
      <c r="AG68" s="13"/>
    </row>
    <row r="69" spans="1:33" ht="20" customHeight="1" x14ac:dyDescent="0.15">
      <c r="A69" s="9">
        <v>67</v>
      </c>
      <c r="B69" s="10">
        <v>0</v>
      </c>
      <c r="C69" s="11">
        <v>67</v>
      </c>
      <c r="D69" s="11">
        <v>3</v>
      </c>
      <c r="E69" s="12" t="s">
        <v>32</v>
      </c>
      <c r="F69" s="11">
        <v>1</v>
      </c>
      <c r="G69" s="11">
        <v>0.58160191599745303</v>
      </c>
      <c r="H69" s="12" t="s">
        <v>33</v>
      </c>
      <c r="I69" s="11">
        <v>67</v>
      </c>
      <c r="J69" s="11">
        <v>0</v>
      </c>
      <c r="K69" s="11">
        <v>67</v>
      </c>
      <c r="L69" s="11">
        <v>0</v>
      </c>
      <c r="M69" s="11">
        <v>115.513320291997</v>
      </c>
      <c r="N69" s="13"/>
      <c r="O69" s="11">
        <v>115.505704499956</v>
      </c>
      <c r="P69" s="11">
        <v>115.513320291997</v>
      </c>
      <c r="Q69" s="11">
        <v>116.503180374973</v>
      </c>
      <c r="R69" s="11">
        <v>116.506792792003</v>
      </c>
      <c r="S69" s="11">
        <v>117.089125667</v>
      </c>
      <c r="T69" s="11">
        <v>3</v>
      </c>
      <c r="U69" s="12" t="s">
        <v>32</v>
      </c>
      <c r="V69" s="11">
        <v>1</v>
      </c>
      <c r="W69" s="11">
        <v>0.58160191599745303</v>
      </c>
      <c r="X69" s="12" t="s">
        <v>33</v>
      </c>
      <c r="Y69" s="11">
        <v>1</v>
      </c>
      <c r="Z69" s="11">
        <v>1</v>
      </c>
      <c r="AA69" s="12" t="s">
        <v>34</v>
      </c>
      <c r="AB69" s="12" t="s">
        <v>35</v>
      </c>
      <c r="AC69" s="13"/>
      <c r="AD69" s="12" t="s">
        <v>36</v>
      </c>
      <c r="AE69" s="12" t="s">
        <v>33</v>
      </c>
      <c r="AF69" s="12" t="s">
        <v>37</v>
      </c>
      <c r="AG69" s="13"/>
    </row>
    <row r="70" spans="1:33" ht="20" customHeight="1" x14ac:dyDescent="0.15">
      <c r="A70" s="9">
        <v>68</v>
      </c>
      <c r="B70" s="10">
        <v>0</v>
      </c>
      <c r="C70" s="11">
        <v>68</v>
      </c>
      <c r="D70" s="11">
        <v>0</v>
      </c>
      <c r="E70" s="12" t="s">
        <v>38</v>
      </c>
      <c r="F70" s="11">
        <v>1</v>
      </c>
      <c r="G70" s="11">
        <v>0.60521179100032896</v>
      </c>
      <c r="H70" s="12" t="s">
        <v>33</v>
      </c>
      <c r="I70" s="11">
        <v>68</v>
      </c>
      <c r="J70" s="11">
        <v>0</v>
      </c>
      <c r="K70" s="11">
        <v>68</v>
      </c>
      <c r="L70" s="11">
        <v>0</v>
      </c>
      <c r="M70" s="11">
        <v>117.09339204197801</v>
      </c>
      <c r="N70" s="13"/>
      <c r="O70" s="11">
        <v>117.089558499982</v>
      </c>
      <c r="P70" s="11">
        <v>117.09339204197801</v>
      </c>
      <c r="Q70" s="11">
        <v>118.08652349998</v>
      </c>
      <c r="R70" s="11">
        <v>118.090044832963</v>
      </c>
      <c r="S70" s="11">
        <v>118.70519954199</v>
      </c>
      <c r="T70" s="11">
        <v>0</v>
      </c>
      <c r="U70" s="12" t="s">
        <v>38</v>
      </c>
      <c r="V70" s="11">
        <v>1</v>
      </c>
      <c r="W70" s="11">
        <v>0.60521179100032896</v>
      </c>
      <c r="X70" s="12" t="s">
        <v>33</v>
      </c>
      <c r="Y70" s="11">
        <v>1</v>
      </c>
      <c r="Z70" s="11">
        <v>1</v>
      </c>
      <c r="AA70" s="12" t="s">
        <v>34</v>
      </c>
      <c r="AB70" s="12" t="s">
        <v>35</v>
      </c>
      <c r="AC70" s="13"/>
      <c r="AD70" s="12" t="s">
        <v>36</v>
      </c>
      <c r="AE70" s="12" t="s">
        <v>33</v>
      </c>
      <c r="AF70" s="12" t="s">
        <v>37</v>
      </c>
      <c r="AG70" s="13"/>
    </row>
    <row r="71" spans="1:33" ht="20" customHeight="1" x14ac:dyDescent="0.15">
      <c r="A71" s="9">
        <v>69</v>
      </c>
      <c r="B71" s="10">
        <v>0</v>
      </c>
      <c r="C71" s="11">
        <v>69</v>
      </c>
      <c r="D71" s="11">
        <v>4</v>
      </c>
      <c r="E71" s="12" t="s">
        <v>32</v>
      </c>
      <c r="F71" s="11">
        <v>1</v>
      </c>
      <c r="G71" s="11">
        <v>0.51946062396746095</v>
      </c>
      <c r="H71" s="12" t="s">
        <v>33</v>
      </c>
      <c r="I71" s="11">
        <v>69</v>
      </c>
      <c r="J71" s="11">
        <v>0</v>
      </c>
      <c r="K71" s="11">
        <v>69</v>
      </c>
      <c r="L71" s="11">
        <v>0</v>
      </c>
      <c r="M71" s="11">
        <v>118.712907999987</v>
      </c>
      <c r="N71" s="13"/>
      <c r="O71" s="11">
        <v>118.705720457947</v>
      </c>
      <c r="P71" s="11">
        <v>118.712907999987</v>
      </c>
      <c r="Q71" s="11">
        <v>119.703271749953</v>
      </c>
      <c r="R71" s="11">
        <v>119.706870583002</v>
      </c>
      <c r="S71" s="11">
        <v>120.22493145795301</v>
      </c>
      <c r="T71" s="11">
        <v>4</v>
      </c>
      <c r="U71" s="12" t="s">
        <v>32</v>
      </c>
      <c r="V71" s="11">
        <v>1</v>
      </c>
      <c r="W71" s="11">
        <v>0.51946062396746095</v>
      </c>
      <c r="X71" s="12" t="s">
        <v>33</v>
      </c>
      <c r="Y71" s="11">
        <v>1</v>
      </c>
      <c r="Z71" s="11">
        <v>1</v>
      </c>
      <c r="AA71" s="12" t="s">
        <v>34</v>
      </c>
      <c r="AB71" s="12" t="s">
        <v>35</v>
      </c>
      <c r="AC71" s="13"/>
      <c r="AD71" s="12" t="s">
        <v>36</v>
      </c>
      <c r="AE71" s="12" t="s">
        <v>33</v>
      </c>
      <c r="AF71" s="12" t="s">
        <v>37</v>
      </c>
      <c r="AG71" s="13"/>
    </row>
    <row r="72" spans="1:33" ht="20" customHeight="1" x14ac:dyDescent="0.15">
      <c r="A72" s="9">
        <v>70</v>
      </c>
      <c r="B72" s="10">
        <v>0</v>
      </c>
      <c r="C72" s="11">
        <v>70</v>
      </c>
      <c r="D72" s="11">
        <v>-5</v>
      </c>
      <c r="E72" s="12" t="s">
        <v>32</v>
      </c>
      <c r="F72" s="11">
        <v>1</v>
      </c>
      <c r="G72" s="11">
        <v>0.59004937502322696</v>
      </c>
      <c r="H72" s="12" t="s">
        <v>33</v>
      </c>
      <c r="I72" s="11">
        <v>70</v>
      </c>
      <c r="J72" s="11">
        <v>0</v>
      </c>
      <c r="K72" s="11">
        <v>70</v>
      </c>
      <c r="L72" s="11">
        <v>0</v>
      </c>
      <c r="M72" s="11">
        <v>120.236592000001</v>
      </c>
      <c r="N72" s="13"/>
      <c r="O72" s="11">
        <v>120.22533599997401</v>
      </c>
      <c r="P72" s="11">
        <v>120.236592000001</v>
      </c>
      <c r="Q72" s="11">
        <v>121.223802916997</v>
      </c>
      <c r="R72" s="11">
        <v>121.223802916997</v>
      </c>
      <c r="S72" s="11">
        <v>121.821471666975</v>
      </c>
      <c r="T72" s="11">
        <v>-5</v>
      </c>
      <c r="U72" s="12" t="s">
        <v>32</v>
      </c>
      <c r="V72" s="11">
        <v>1</v>
      </c>
      <c r="W72" s="11">
        <v>0.59004937502322696</v>
      </c>
      <c r="X72" s="12" t="s">
        <v>33</v>
      </c>
      <c r="Y72" s="11">
        <v>1</v>
      </c>
      <c r="Z72" s="11">
        <v>1</v>
      </c>
      <c r="AA72" s="12" t="s">
        <v>34</v>
      </c>
      <c r="AB72" s="12" t="s">
        <v>35</v>
      </c>
      <c r="AC72" s="13"/>
      <c r="AD72" s="12" t="s">
        <v>36</v>
      </c>
      <c r="AE72" s="12" t="s">
        <v>33</v>
      </c>
      <c r="AF72" s="12" t="s">
        <v>37</v>
      </c>
      <c r="AG72" s="13"/>
    </row>
    <row r="73" spans="1:33" ht="20" customHeight="1" x14ac:dyDescent="0.15">
      <c r="A73" s="9">
        <v>71</v>
      </c>
      <c r="B73" s="10">
        <v>0</v>
      </c>
      <c r="C73" s="11">
        <v>71</v>
      </c>
      <c r="D73" s="11">
        <v>0</v>
      </c>
      <c r="E73" s="12" t="s">
        <v>38</v>
      </c>
      <c r="F73" s="11">
        <v>1</v>
      </c>
      <c r="G73" s="11">
        <v>0.59485745796700895</v>
      </c>
      <c r="H73" s="12" t="s">
        <v>33</v>
      </c>
      <c r="I73" s="11">
        <v>71</v>
      </c>
      <c r="J73" s="11">
        <v>0</v>
      </c>
      <c r="K73" s="11">
        <v>71</v>
      </c>
      <c r="L73" s="11">
        <v>0</v>
      </c>
      <c r="M73" s="11">
        <v>121.828959541977</v>
      </c>
      <c r="N73" s="13"/>
      <c r="O73" s="11">
        <v>121.82188054197501</v>
      </c>
      <c r="P73" s="11">
        <v>121.828959541977</v>
      </c>
      <c r="Q73" s="11">
        <v>122.819839957985</v>
      </c>
      <c r="R73" s="11">
        <v>122.823352707957</v>
      </c>
      <c r="S73" s="11">
        <v>123.422043667</v>
      </c>
      <c r="T73" s="11">
        <v>0</v>
      </c>
      <c r="U73" s="12" t="s">
        <v>38</v>
      </c>
      <c r="V73" s="11">
        <v>1</v>
      </c>
      <c r="W73" s="11">
        <v>0.59485745796700895</v>
      </c>
      <c r="X73" s="12" t="s">
        <v>33</v>
      </c>
      <c r="Y73" s="11">
        <v>1</v>
      </c>
      <c r="Z73" s="11">
        <v>1</v>
      </c>
      <c r="AA73" s="12" t="s">
        <v>34</v>
      </c>
      <c r="AB73" s="12" t="s">
        <v>35</v>
      </c>
      <c r="AC73" s="13"/>
      <c r="AD73" s="12" t="s">
        <v>36</v>
      </c>
      <c r="AE73" s="12" t="s">
        <v>33</v>
      </c>
      <c r="AF73" s="12" t="s">
        <v>37</v>
      </c>
      <c r="AG73" s="13"/>
    </row>
    <row r="74" spans="1:33" ht="20" customHeight="1" x14ac:dyDescent="0.15">
      <c r="A74" s="9">
        <v>72</v>
      </c>
      <c r="B74" s="10">
        <v>0</v>
      </c>
      <c r="C74" s="11">
        <v>72</v>
      </c>
      <c r="D74" s="11">
        <v>-2</v>
      </c>
      <c r="E74" s="12" t="s">
        <v>38</v>
      </c>
      <c r="F74" s="11">
        <v>0</v>
      </c>
      <c r="G74" s="11">
        <v>0.58553508302429702</v>
      </c>
      <c r="H74" s="12" t="s">
        <v>33</v>
      </c>
      <c r="I74" s="11">
        <v>72</v>
      </c>
      <c r="J74" s="11">
        <v>0</v>
      </c>
      <c r="K74" s="11">
        <v>72</v>
      </c>
      <c r="L74" s="11">
        <v>0</v>
      </c>
      <c r="M74" s="11">
        <v>123.429988291988</v>
      </c>
      <c r="N74" s="13"/>
      <c r="O74" s="11">
        <v>123.422620625002</v>
      </c>
      <c r="P74" s="11">
        <v>123.429988291988</v>
      </c>
      <c r="Q74" s="11">
        <v>124.42010137497</v>
      </c>
      <c r="R74" s="11">
        <v>124.424038917001</v>
      </c>
      <c r="S74" s="11">
        <v>125.00799216696799</v>
      </c>
      <c r="T74" s="11">
        <v>-2</v>
      </c>
      <c r="U74" s="12" t="s">
        <v>38</v>
      </c>
      <c r="V74" s="11">
        <v>0</v>
      </c>
      <c r="W74" s="11">
        <v>0.58553508302429702</v>
      </c>
      <c r="X74" s="12" t="s">
        <v>33</v>
      </c>
      <c r="Y74" s="11">
        <v>1</v>
      </c>
      <c r="Z74" s="11">
        <v>1</v>
      </c>
      <c r="AA74" s="12" t="s">
        <v>34</v>
      </c>
      <c r="AB74" s="12" t="s">
        <v>35</v>
      </c>
      <c r="AC74" s="13"/>
      <c r="AD74" s="12" t="s">
        <v>36</v>
      </c>
      <c r="AE74" s="12" t="s">
        <v>33</v>
      </c>
      <c r="AF74" s="12" t="s">
        <v>37</v>
      </c>
      <c r="AG74" s="13"/>
    </row>
    <row r="75" spans="1:33" ht="20" customHeight="1" x14ac:dyDescent="0.15">
      <c r="A75" s="9">
        <v>73</v>
      </c>
      <c r="B75" s="10">
        <v>0</v>
      </c>
      <c r="C75" s="11">
        <v>73</v>
      </c>
      <c r="D75" s="11">
        <v>-4</v>
      </c>
      <c r="E75" s="12" t="s">
        <v>32</v>
      </c>
      <c r="F75" s="11">
        <v>1</v>
      </c>
      <c r="G75" s="11">
        <v>0.63861324900062799</v>
      </c>
      <c r="H75" s="12" t="s">
        <v>33</v>
      </c>
      <c r="I75" s="11">
        <v>73</v>
      </c>
      <c r="J75" s="11">
        <v>0</v>
      </c>
      <c r="K75" s="11">
        <v>73</v>
      </c>
      <c r="L75" s="11">
        <v>0</v>
      </c>
      <c r="M75" s="11">
        <v>125.01986341696499</v>
      </c>
      <c r="N75" s="13"/>
      <c r="O75" s="11">
        <v>125.008406749985</v>
      </c>
      <c r="P75" s="11">
        <v>125.01986341696499</v>
      </c>
      <c r="Q75" s="11">
        <v>126.007175707957</v>
      </c>
      <c r="R75" s="11">
        <v>126.007175707957</v>
      </c>
      <c r="S75" s="11">
        <v>126.65479858295301</v>
      </c>
      <c r="T75" s="11">
        <v>-4</v>
      </c>
      <c r="U75" s="12" t="s">
        <v>32</v>
      </c>
      <c r="V75" s="11">
        <v>1</v>
      </c>
      <c r="W75" s="11">
        <v>0.63861324900062799</v>
      </c>
      <c r="X75" s="12" t="s">
        <v>33</v>
      </c>
      <c r="Y75" s="11">
        <v>1</v>
      </c>
      <c r="Z75" s="11">
        <v>1</v>
      </c>
      <c r="AA75" s="12" t="s">
        <v>34</v>
      </c>
      <c r="AB75" s="12" t="s">
        <v>35</v>
      </c>
      <c r="AC75" s="13"/>
      <c r="AD75" s="12" t="s">
        <v>36</v>
      </c>
      <c r="AE75" s="12" t="s">
        <v>33</v>
      </c>
      <c r="AF75" s="12" t="s">
        <v>37</v>
      </c>
      <c r="AG75" s="13"/>
    </row>
    <row r="76" spans="1:33" ht="20" customHeight="1" x14ac:dyDescent="0.15">
      <c r="A76" s="9">
        <v>74</v>
      </c>
      <c r="B76" s="10">
        <v>0</v>
      </c>
      <c r="C76" s="11">
        <v>74</v>
      </c>
      <c r="D76" s="11">
        <v>1</v>
      </c>
      <c r="E76" s="12" t="s">
        <v>32</v>
      </c>
      <c r="F76" s="11">
        <v>1</v>
      </c>
      <c r="G76" s="11">
        <v>0.75649304199032497</v>
      </c>
      <c r="H76" s="12" t="s">
        <v>33</v>
      </c>
      <c r="I76" s="11">
        <v>74</v>
      </c>
      <c r="J76" s="11">
        <v>0</v>
      </c>
      <c r="K76" s="11">
        <v>74</v>
      </c>
      <c r="L76" s="11">
        <v>0</v>
      </c>
      <c r="M76" s="11">
        <v>126.662250291964</v>
      </c>
      <c r="N76" s="13"/>
      <c r="O76" s="11">
        <v>126.65526820794901</v>
      </c>
      <c r="P76" s="11">
        <v>126.662250291964</v>
      </c>
      <c r="Q76" s="11">
        <v>127.653177917004</v>
      </c>
      <c r="R76" s="11">
        <v>127.656744624954</v>
      </c>
      <c r="S76" s="11">
        <v>128.42181458295099</v>
      </c>
      <c r="T76" s="11">
        <v>1</v>
      </c>
      <c r="U76" s="12" t="s">
        <v>32</v>
      </c>
      <c r="V76" s="11">
        <v>1</v>
      </c>
      <c r="W76" s="11">
        <v>0.75649304199032497</v>
      </c>
      <c r="X76" s="12" t="s">
        <v>33</v>
      </c>
      <c r="Y76" s="11">
        <v>1</v>
      </c>
      <c r="Z76" s="11">
        <v>1</v>
      </c>
      <c r="AA76" s="12" t="s">
        <v>34</v>
      </c>
      <c r="AB76" s="12" t="s">
        <v>35</v>
      </c>
      <c r="AC76" s="13"/>
      <c r="AD76" s="12" t="s">
        <v>36</v>
      </c>
      <c r="AE76" s="12" t="s">
        <v>33</v>
      </c>
      <c r="AF76" s="12" t="s">
        <v>37</v>
      </c>
      <c r="AG76" s="13"/>
    </row>
    <row r="77" spans="1:33" ht="20" customHeight="1" x14ac:dyDescent="0.15">
      <c r="A77" s="9">
        <v>75</v>
      </c>
      <c r="B77" s="10">
        <v>0</v>
      </c>
      <c r="C77" s="11">
        <v>75</v>
      </c>
      <c r="D77" s="11">
        <v>-3</v>
      </c>
      <c r="E77" s="12" t="s">
        <v>38</v>
      </c>
      <c r="F77" s="11">
        <v>0</v>
      </c>
      <c r="G77" s="11">
        <v>0.73870025004725903</v>
      </c>
      <c r="H77" s="12" t="s">
        <v>33</v>
      </c>
      <c r="I77" s="11">
        <v>75</v>
      </c>
      <c r="J77" s="11">
        <v>0</v>
      </c>
      <c r="K77" s="11">
        <v>75</v>
      </c>
      <c r="L77" s="11">
        <v>0</v>
      </c>
      <c r="M77" s="11">
        <v>128.429768207949</v>
      </c>
      <c r="N77" s="13"/>
      <c r="O77" s="11">
        <v>128.42239908297799</v>
      </c>
      <c r="P77" s="11">
        <v>128.429768207949</v>
      </c>
      <c r="Q77" s="11">
        <v>129.41983312496501</v>
      </c>
      <c r="R77" s="11">
        <v>129.42300574999501</v>
      </c>
      <c r="S77" s="11">
        <v>130.17145120794899</v>
      </c>
      <c r="T77" s="11">
        <v>-3</v>
      </c>
      <c r="U77" s="12" t="s">
        <v>38</v>
      </c>
      <c r="V77" s="11">
        <v>0</v>
      </c>
      <c r="W77" s="11">
        <v>0.73870025004725903</v>
      </c>
      <c r="X77" s="12" t="s">
        <v>33</v>
      </c>
      <c r="Y77" s="11">
        <v>1</v>
      </c>
      <c r="Z77" s="11">
        <v>1</v>
      </c>
      <c r="AA77" s="12" t="s">
        <v>34</v>
      </c>
      <c r="AB77" s="12" t="s">
        <v>35</v>
      </c>
      <c r="AC77" s="13"/>
      <c r="AD77" s="12" t="s">
        <v>36</v>
      </c>
      <c r="AE77" s="12" t="s">
        <v>33</v>
      </c>
      <c r="AF77" s="12" t="s">
        <v>37</v>
      </c>
      <c r="AG77" s="13"/>
    </row>
    <row r="78" spans="1:33" ht="20" customHeight="1" x14ac:dyDescent="0.15">
      <c r="A78" s="9">
        <v>76</v>
      </c>
      <c r="B78" s="10">
        <v>0</v>
      </c>
      <c r="C78" s="11">
        <v>76</v>
      </c>
      <c r="D78" s="11">
        <v>4</v>
      </c>
      <c r="E78" s="12" t="s">
        <v>32</v>
      </c>
      <c r="F78" s="11">
        <v>1</v>
      </c>
      <c r="G78" s="11">
        <v>0.58872641599737097</v>
      </c>
      <c r="H78" s="12" t="s">
        <v>33</v>
      </c>
      <c r="I78" s="11">
        <v>76</v>
      </c>
      <c r="J78" s="11">
        <v>0</v>
      </c>
      <c r="K78" s="11">
        <v>76</v>
      </c>
      <c r="L78" s="11">
        <v>0</v>
      </c>
      <c r="M78" s="11">
        <v>130.179025541991</v>
      </c>
      <c r="N78" s="13"/>
      <c r="O78" s="11">
        <v>130.17192216694801</v>
      </c>
      <c r="P78" s="11">
        <v>130.179025541991</v>
      </c>
      <c r="Q78" s="11">
        <v>131.169807041995</v>
      </c>
      <c r="R78" s="11">
        <v>131.17337170796199</v>
      </c>
      <c r="S78" s="11">
        <v>131.77182487497299</v>
      </c>
      <c r="T78" s="11">
        <v>4</v>
      </c>
      <c r="U78" s="12" t="s">
        <v>32</v>
      </c>
      <c r="V78" s="11">
        <v>1</v>
      </c>
      <c r="W78" s="11">
        <v>0.58872641599737097</v>
      </c>
      <c r="X78" s="12" t="s">
        <v>33</v>
      </c>
      <c r="Y78" s="11">
        <v>1</v>
      </c>
      <c r="Z78" s="11">
        <v>1</v>
      </c>
      <c r="AA78" s="12" t="s">
        <v>34</v>
      </c>
      <c r="AB78" s="12" t="s">
        <v>35</v>
      </c>
      <c r="AC78" s="13"/>
      <c r="AD78" s="12" t="s">
        <v>36</v>
      </c>
      <c r="AE78" s="12" t="s">
        <v>33</v>
      </c>
      <c r="AF78" s="12" t="s">
        <v>37</v>
      </c>
      <c r="AG78" s="13"/>
    </row>
    <row r="79" spans="1:33" ht="20" customHeight="1" x14ac:dyDescent="0.15">
      <c r="A79" s="9">
        <v>77</v>
      </c>
      <c r="B79" s="10">
        <v>0</v>
      </c>
      <c r="C79" s="11">
        <v>77</v>
      </c>
      <c r="D79" s="11">
        <v>3</v>
      </c>
      <c r="E79" s="12" t="s">
        <v>32</v>
      </c>
      <c r="F79" s="11">
        <v>1</v>
      </c>
      <c r="G79" s="11">
        <v>0.62260658305604</v>
      </c>
      <c r="H79" s="12" t="s">
        <v>33</v>
      </c>
      <c r="I79" s="11">
        <v>77</v>
      </c>
      <c r="J79" s="11">
        <v>0</v>
      </c>
      <c r="K79" s="11">
        <v>77</v>
      </c>
      <c r="L79" s="11">
        <v>0</v>
      </c>
      <c r="M79" s="11">
        <v>131.77981604199201</v>
      </c>
      <c r="N79" s="13"/>
      <c r="O79" s="11">
        <v>131.77238587499599</v>
      </c>
      <c r="P79" s="11">
        <v>131.77981604199201</v>
      </c>
      <c r="Q79" s="11">
        <v>132.76993762498</v>
      </c>
      <c r="R79" s="11">
        <v>132.77396962494799</v>
      </c>
      <c r="S79" s="11">
        <v>133.405055541953</v>
      </c>
      <c r="T79" s="11">
        <v>3</v>
      </c>
      <c r="U79" s="12" t="s">
        <v>32</v>
      </c>
      <c r="V79" s="11">
        <v>1</v>
      </c>
      <c r="W79" s="11">
        <v>0.62260658305604</v>
      </c>
      <c r="X79" s="12" t="s">
        <v>33</v>
      </c>
      <c r="Y79" s="11">
        <v>1</v>
      </c>
      <c r="Z79" s="11">
        <v>1</v>
      </c>
      <c r="AA79" s="12" t="s">
        <v>34</v>
      </c>
      <c r="AB79" s="12" t="s">
        <v>35</v>
      </c>
      <c r="AC79" s="13"/>
      <c r="AD79" s="12" t="s">
        <v>36</v>
      </c>
      <c r="AE79" s="12" t="s">
        <v>33</v>
      </c>
      <c r="AF79" s="12" t="s">
        <v>37</v>
      </c>
      <c r="AG79" s="13"/>
    </row>
    <row r="80" spans="1:33" ht="20" customHeight="1" x14ac:dyDescent="0.15">
      <c r="A80" s="9">
        <v>78</v>
      </c>
      <c r="B80" s="10">
        <v>0</v>
      </c>
      <c r="C80" s="11">
        <v>78</v>
      </c>
      <c r="D80" s="11">
        <v>1</v>
      </c>
      <c r="E80" s="12" t="s">
        <v>32</v>
      </c>
      <c r="F80" s="11">
        <v>1</v>
      </c>
      <c r="G80" s="11">
        <v>0.59438745799707304</v>
      </c>
      <c r="H80" s="12" t="s">
        <v>33</v>
      </c>
      <c r="I80" s="11">
        <v>78</v>
      </c>
      <c r="J80" s="11">
        <v>0</v>
      </c>
      <c r="K80" s="11">
        <v>78</v>
      </c>
      <c r="L80" s="11">
        <v>0</v>
      </c>
      <c r="M80" s="11">
        <v>133.41324187494999</v>
      </c>
      <c r="N80" s="13"/>
      <c r="O80" s="11">
        <v>133.405616791977</v>
      </c>
      <c r="P80" s="11">
        <v>133.41324187494999</v>
      </c>
      <c r="Q80" s="11">
        <v>134.403138874972</v>
      </c>
      <c r="R80" s="11">
        <v>134.40673795796499</v>
      </c>
      <c r="S80" s="11">
        <v>135.00524466700199</v>
      </c>
      <c r="T80" s="11">
        <v>1</v>
      </c>
      <c r="U80" s="12" t="s">
        <v>32</v>
      </c>
      <c r="V80" s="11">
        <v>1</v>
      </c>
      <c r="W80" s="11">
        <v>0.59438745799707304</v>
      </c>
      <c r="X80" s="12" t="s">
        <v>33</v>
      </c>
      <c r="Y80" s="11">
        <v>1</v>
      </c>
      <c r="Z80" s="11">
        <v>1</v>
      </c>
      <c r="AA80" s="12" t="s">
        <v>34</v>
      </c>
      <c r="AB80" s="12" t="s">
        <v>35</v>
      </c>
      <c r="AC80" s="13"/>
      <c r="AD80" s="12" t="s">
        <v>36</v>
      </c>
      <c r="AE80" s="12" t="s">
        <v>33</v>
      </c>
      <c r="AF80" s="12" t="s">
        <v>37</v>
      </c>
      <c r="AG80" s="13"/>
    </row>
    <row r="81" spans="1:33" ht="20" customHeight="1" x14ac:dyDescent="0.15">
      <c r="A81" s="9">
        <v>79</v>
      </c>
      <c r="B81" s="10">
        <v>0</v>
      </c>
      <c r="C81" s="11">
        <v>79</v>
      </c>
      <c r="D81" s="11">
        <v>2</v>
      </c>
      <c r="E81" s="12" t="s">
        <v>32</v>
      </c>
      <c r="F81" s="11">
        <v>1</v>
      </c>
      <c r="G81" s="11">
        <v>0.64723012497415799</v>
      </c>
      <c r="H81" s="12" t="s">
        <v>33</v>
      </c>
      <c r="I81" s="11">
        <v>79</v>
      </c>
      <c r="J81" s="11">
        <v>0</v>
      </c>
      <c r="K81" s="11">
        <v>79</v>
      </c>
      <c r="L81" s="11">
        <v>0</v>
      </c>
      <c r="M81" s="11">
        <v>135.01270454196501</v>
      </c>
      <c r="N81" s="13"/>
      <c r="O81" s="11">
        <v>135.005719874986</v>
      </c>
      <c r="P81" s="11">
        <v>135.01270454196501</v>
      </c>
      <c r="Q81" s="11">
        <v>136.00322945800099</v>
      </c>
      <c r="R81" s="11">
        <v>136.00674666697199</v>
      </c>
      <c r="S81" s="11">
        <v>136.65560391696599</v>
      </c>
      <c r="T81" s="11">
        <v>2</v>
      </c>
      <c r="U81" s="12" t="s">
        <v>32</v>
      </c>
      <c r="V81" s="11">
        <v>1</v>
      </c>
      <c r="W81" s="11">
        <v>0.64723012497415799</v>
      </c>
      <c r="X81" s="12" t="s">
        <v>33</v>
      </c>
      <c r="Y81" s="11">
        <v>1</v>
      </c>
      <c r="Z81" s="11">
        <v>1</v>
      </c>
      <c r="AA81" s="12" t="s">
        <v>34</v>
      </c>
      <c r="AB81" s="12" t="s">
        <v>35</v>
      </c>
      <c r="AC81" s="13"/>
      <c r="AD81" s="12" t="s">
        <v>36</v>
      </c>
      <c r="AE81" s="12" t="s">
        <v>33</v>
      </c>
      <c r="AF81" s="12" t="s">
        <v>37</v>
      </c>
      <c r="AG81" s="13"/>
    </row>
    <row r="82" spans="1:33" ht="20" customHeight="1" x14ac:dyDescent="0.15">
      <c r="A82" s="9">
        <v>80</v>
      </c>
      <c r="B82" s="10">
        <v>0</v>
      </c>
      <c r="C82" s="11">
        <v>80</v>
      </c>
      <c r="D82" s="11">
        <v>0</v>
      </c>
      <c r="E82" s="12" t="s">
        <v>38</v>
      </c>
      <c r="F82" s="11">
        <v>1</v>
      </c>
      <c r="G82" s="11">
        <v>0.79624879203038301</v>
      </c>
      <c r="H82" s="12" t="s">
        <v>33</v>
      </c>
      <c r="I82" s="11">
        <v>80</v>
      </c>
      <c r="J82" s="11">
        <v>0</v>
      </c>
      <c r="K82" s="11">
        <v>80</v>
      </c>
      <c r="L82" s="11">
        <v>0</v>
      </c>
      <c r="M82" s="11">
        <v>136.65988666698101</v>
      </c>
      <c r="N82" s="13"/>
      <c r="O82" s="11">
        <v>136.65616212500001</v>
      </c>
      <c r="P82" s="11">
        <v>136.65988666698101</v>
      </c>
      <c r="Q82" s="11">
        <v>137.653093124973</v>
      </c>
      <c r="R82" s="11">
        <v>137.65687024995</v>
      </c>
      <c r="S82" s="11">
        <v>138.45515020797001</v>
      </c>
      <c r="T82" s="11">
        <v>0</v>
      </c>
      <c r="U82" s="12" t="s">
        <v>38</v>
      </c>
      <c r="V82" s="11">
        <v>1</v>
      </c>
      <c r="W82" s="11">
        <v>0.79624879203038301</v>
      </c>
      <c r="X82" s="12" t="s">
        <v>33</v>
      </c>
      <c r="Y82" s="11">
        <v>1</v>
      </c>
      <c r="Z82" s="11">
        <v>1</v>
      </c>
      <c r="AA82" s="12" t="s">
        <v>34</v>
      </c>
      <c r="AB82" s="12" t="s">
        <v>35</v>
      </c>
      <c r="AC82" s="13"/>
      <c r="AD82" s="12" t="s">
        <v>36</v>
      </c>
      <c r="AE82" s="12" t="s">
        <v>33</v>
      </c>
      <c r="AF82" s="12" t="s">
        <v>37</v>
      </c>
      <c r="AG82" s="13"/>
    </row>
    <row r="83" spans="1:33" ht="20" customHeight="1" x14ac:dyDescent="0.15">
      <c r="A83" s="9">
        <v>81</v>
      </c>
      <c r="B83" s="10">
        <v>0</v>
      </c>
      <c r="C83" s="11">
        <v>81</v>
      </c>
      <c r="D83" s="11">
        <v>2</v>
      </c>
      <c r="E83" s="12" t="s">
        <v>32</v>
      </c>
      <c r="F83" s="11">
        <v>1</v>
      </c>
      <c r="G83" s="11">
        <v>0.59718579100444902</v>
      </c>
      <c r="H83" s="12" t="s">
        <v>33</v>
      </c>
      <c r="I83" s="11">
        <v>81</v>
      </c>
      <c r="J83" s="11">
        <v>0</v>
      </c>
      <c r="K83" s="11">
        <v>81</v>
      </c>
      <c r="L83" s="11">
        <v>0</v>
      </c>
      <c r="M83" s="11">
        <v>138.46273329196299</v>
      </c>
      <c r="N83" s="13"/>
      <c r="O83" s="11">
        <v>138.45562004198999</v>
      </c>
      <c r="P83" s="11">
        <v>138.46273329196299</v>
      </c>
      <c r="Q83" s="11">
        <v>139.45321666699601</v>
      </c>
      <c r="R83" s="11">
        <v>139.45671075000399</v>
      </c>
      <c r="S83" s="11">
        <v>140.05494670796901</v>
      </c>
      <c r="T83" s="11">
        <v>2</v>
      </c>
      <c r="U83" s="12" t="s">
        <v>32</v>
      </c>
      <c r="V83" s="11">
        <v>1</v>
      </c>
      <c r="W83" s="11">
        <v>0.59718579100444902</v>
      </c>
      <c r="X83" s="12" t="s">
        <v>33</v>
      </c>
      <c r="Y83" s="11">
        <v>1</v>
      </c>
      <c r="Z83" s="11">
        <v>1</v>
      </c>
      <c r="AA83" s="12" t="s">
        <v>34</v>
      </c>
      <c r="AB83" s="12" t="s">
        <v>35</v>
      </c>
      <c r="AC83" s="13"/>
      <c r="AD83" s="12" t="s">
        <v>36</v>
      </c>
      <c r="AE83" s="12" t="s">
        <v>33</v>
      </c>
      <c r="AF83" s="12" t="s">
        <v>37</v>
      </c>
      <c r="AG83" s="13"/>
    </row>
    <row r="84" spans="1:33" ht="20" customHeight="1" x14ac:dyDescent="0.15">
      <c r="A84" s="9">
        <v>82</v>
      </c>
      <c r="B84" s="10">
        <v>0</v>
      </c>
      <c r="C84" s="11">
        <v>82</v>
      </c>
      <c r="D84" s="11">
        <v>0</v>
      </c>
      <c r="E84" s="12" t="s">
        <v>32</v>
      </c>
      <c r="F84" s="11">
        <v>0</v>
      </c>
      <c r="G84" s="11">
        <v>0.71716004097834196</v>
      </c>
      <c r="H84" s="12" t="s">
        <v>33</v>
      </c>
      <c r="I84" s="11">
        <v>82</v>
      </c>
      <c r="J84" s="11">
        <v>0</v>
      </c>
      <c r="K84" s="11">
        <v>82</v>
      </c>
      <c r="L84" s="11">
        <v>0</v>
      </c>
      <c r="M84" s="11">
        <v>140.05932129197799</v>
      </c>
      <c r="N84" s="13"/>
      <c r="O84" s="11">
        <v>140.05544408300199</v>
      </c>
      <c r="P84" s="11">
        <v>140.05932129197799</v>
      </c>
      <c r="Q84" s="11">
        <v>141.05316812498501</v>
      </c>
      <c r="R84" s="11">
        <v>141.05675233295199</v>
      </c>
      <c r="S84" s="11">
        <v>141.77496783295601</v>
      </c>
      <c r="T84" s="11">
        <v>0</v>
      </c>
      <c r="U84" s="12" t="s">
        <v>32</v>
      </c>
      <c r="V84" s="11">
        <v>0</v>
      </c>
      <c r="W84" s="11">
        <v>0.71716004097834196</v>
      </c>
      <c r="X84" s="12" t="s">
        <v>33</v>
      </c>
      <c r="Y84" s="11">
        <v>1</v>
      </c>
      <c r="Z84" s="11">
        <v>1</v>
      </c>
      <c r="AA84" s="12" t="s">
        <v>34</v>
      </c>
      <c r="AB84" s="12" t="s">
        <v>35</v>
      </c>
      <c r="AC84" s="13"/>
      <c r="AD84" s="12" t="s">
        <v>36</v>
      </c>
      <c r="AE84" s="12" t="s">
        <v>33</v>
      </c>
      <c r="AF84" s="12" t="s">
        <v>37</v>
      </c>
      <c r="AG84" s="13"/>
    </row>
    <row r="85" spans="1:33" ht="20" customHeight="1" x14ac:dyDescent="0.15">
      <c r="A85" s="9">
        <v>83</v>
      </c>
      <c r="B85" s="10">
        <v>0</v>
      </c>
      <c r="C85" s="11">
        <v>83</v>
      </c>
      <c r="D85" s="11">
        <v>-3</v>
      </c>
      <c r="E85" s="12" t="s">
        <v>38</v>
      </c>
      <c r="F85" s="11">
        <v>0</v>
      </c>
      <c r="G85" s="11">
        <v>0.65246966597624101</v>
      </c>
      <c r="H85" s="12" t="s">
        <v>33</v>
      </c>
      <c r="I85" s="11">
        <v>83</v>
      </c>
      <c r="J85" s="11">
        <v>0</v>
      </c>
      <c r="K85" s="11">
        <v>83</v>
      </c>
      <c r="L85" s="11">
        <v>0</v>
      </c>
      <c r="M85" s="11">
        <v>141.786539457971</v>
      </c>
      <c r="N85" s="13"/>
      <c r="O85" s="11">
        <v>141.77542345796201</v>
      </c>
      <c r="P85" s="11">
        <v>141.786539457971</v>
      </c>
      <c r="Q85" s="11">
        <v>142.77382933295999</v>
      </c>
      <c r="R85" s="11">
        <v>142.77382933295999</v>
      </c>
      <c r="S85" s="11">
        <v>143.43844770797301</v>
      </c>
      <c r="T85" s="11">
        <v>-3</v>
      </c>
      <c r="U85" s="12" t="s">
        <v>38</v>
      </c>
      <c r="V85" s="11">
        <v>0</v>
      </c>
      <c r="W85" s="11">
        <v>0.65246966597624101</v>
      </c>
      <c r="X85" s="12" t="s">
        <v>33</v>
      </c>
      <c r="Y85" s="11">
        <v>1</v>
      </c>
      <c r="Z85" s="11">
        <v>1</v>
      </c>
      <c r="AA85" s="12" t="s">
        <v>34</v>
      </c>
      <c r="AB85" s="12" t="s">
        <v>35</v>
      </c>
      <c r="AC85" s="13"/>
      <c r="AD85" s="12" t="s">
        <v>36</v>
      </c>
      <c r="AE85" s="12" t="s">
        <v>33</v>
      </c>
      <c r="AF85" s="12" t="s">
        <v>37</v>
      </c>
      <c r="AG85" s="13"/>
    </row>
    <row r="86" spans="1:33" ht="20" customHeight="1" x14ac:dyDescent="0.15">
      <c r="A86" s="9">
        <v>84</v>
      </c>
      <c r="B86" s="10">
        <v>0</v>
      </c>
      <c r="C86" s="11">
        <v>84</v>
      </c>
      <c r="D86" s="11">
        <v>-5</v>
      </c>
      <c r="E86" s="12" t="s">
        <v>32</v>
      </c>
      <c r="F86" s="11">
        <v>1</v>
      </c>
      <c r="G86" s="11">
        <v>0.709800875047222</v>
      </c>
      <c r="H86" s="12" t="s">
        <v>33</v>
      </c>
      <c r="I86" s="11">
        <v>84</v>
      </c>
      <c r="J86" s="11">
        <v>0</v>
      </c>
      <c r="K86" s="11">
        <v>84</v>
      </c>
      <c r="L86" s="11">
        <v>0</v>
      </c>
      <c r="M86" s="11">
        <v>143.44640804198599</v>
      </c>
      <c r="N86" s="13"/>
      <c r="O86" s="11">
        <v>143.43900995794701</v>
      </c>
      <c r="P86" s="11">
        <v>143.44640804198599</v>
      </c>
      <c r="Q86" s="11">
        <v>144.43650212499799</v>
      </c>
      <c r="R86" s="11">
        <v>144.43998720799601</v>
      </c>
      <c r="S86" s="11">
        <v>145.15509591699799</v>
      </c>
      <c r="T86" s="11">
        <v>-5</v>
      </c>
      <c r="U86" s="12" t="s">
        <v>32</v>
      </c>
      <c r="V86" s="11">
        <v>1</v>
      </c>
      <c r="W86" s="11">
        <v>0.709800875047222</v>
      </c>
      <c r="X86" s="12" t="s">
        <v>33</v>
      </c>
      <c r="Y86" s="11">
        <v>1</v>
      </c>
      <c r="Z86" s="11">
        <v>1</v>
      </c>
      <c r="AA86" s="12" t="s">
        <v>34</v>
      </c>
      <c r="AB86" s="12" t="s">
        <v>35</v>
      </c>
      <c r="AC86" s="13"/>
      <c r="AD86" s="12" t="s">
        <v>36</v>
      </c>
      <c r="AE86" s="12" t="s">
        <v>33</v>
      </c>
      <c r="AF86" s="12" t="s">
        <v>37</v>
      </c>
      <c r="AG86" s="13"/>
    </row>
    <row r="87" spans="1:33" ht="20" customHeight="1" x14ac:dyDescent="0.15">
      <c r="A87" s="9">
        <v>85</v>
      </c>
      <c r="B87" s="10">
        <v>0</v>
      </c>
      <c r="C87" s="11">
        <v>85</v>
      </c>
      <c r="D87" s="11">
        <v>-4</v>
      </c>
      <c r="E87" s="12" t="s">
        <v>32</v>
      </c>
      <c r="F87" s="11">
        <v>1</v>
      </c>
      <c r="G87" s="11">
        <v>0.92298854200635105</v>
      </c>
      <c r="H87" s="12" t="s">
        <v>33</v>
      </c>
      <c r="I87" s="11">
        <v>85</v>
      </c>
      <c r="J87" s="11">
        <v>0</v>
      </c>
      <c r="K87" s="11">
        <v>85</v>
      </c>
      <c r="L87" s="11">
        <v>0</v>
      </c>
      <c r="M87" s="11">
        <v>145.163109082961</v>
      </c>
      <c r="N87" s="13"/>
      <c r="O87" s="11">
        <v>145.155678207986</v>
      </c>
      <c r="P87" s="11">
        <v>145.163109082961</v>
      </c>
      <c r="Q87" s="11">
        <v>146.15313566697299</v>
      </c>
      <c r="R87" s="11">
        <v>146.15669074997999</v>
      </c>
      <c r="S87" s="11">
        <v>147.088415291975</v>
      </c>
      <c r="T87" s="11">
        <v>-4</v>
      </c>
      <c r="U87" s="12" t="s">
        <v>32</v>
      </c>
      <c r="V87" s="11">
        <v>1</v>
      </c>
      <c r="W87" s="11">
        <v>0.92298854200635105</v>
      </c>
      <c r="X87" s="12" t="s">
        <v>33</v>
      </c>
      <c r="Y87" s="11">
        <v>1</v>
      </c>
      <c r="Z87" s="11">
        <v>1</v>
      </c>
      <c r="AA87" s="12" t="s">
        <v>34</v>
      </c>
      <c r="AB87" s="12" t="s">
        <v>35</v>
      </c>
      <c r="AC87" s="13"/>
      <c r="AD87" s="12" t="s">
        <v>36</v>
      </c>
      <c r="AE87" s="12" t="s">
        <v>33</v>
      </c>
      <c r="AF87" s="12" t="s">
        <v>37</v>
      </c>
      <c r="AG87" s="13"/>
    </row>
    <row r="88" spans="1:33" ht="20" customHeight="1" x14ac:dyDescent="0.15">
      <c r="A88" s="9">
        <v>86</v>
      </c>
      <c r="B88" s="10">
        <v>0</v>
      </c>
      <c r="C88" s="11">
        <v>86</v>
      </c>
      <c r="D88" s="11">
        <v>-5</v>
      </c>
      <c r="E88" s="12" t="s">
        <v>32</v>
      </c>
      <c r="F88" s="11">
        <v>1</v>
      </c>
      <c r="G88" s="11">
        <v>0.71165812498657</v>
      </c>
      <c r="H88" s="12" t="s">
        <v>33</v>
      </c>
      <c r="I88" s="11">
        <v>86</v>
      </c>
      <c r="J88" s="11">
        <v>0</v>
      </c>
      <c r="K88" s="11">
        <v>86</v>
      </c>
      <c r="L88" s="11">
        <v>0</v>
      </c>
      <c r="M88" s="11">
        <v>147.09637508296899</v>
      </c>
      <c r="N88" s="13"/>
      <c r="O88" s="11">
        <v>147.088996541977</v>
      </c>
      <c r="P88" s="11">
        <v>147.09637508296899</v>
      </c>
      <c r="Q88" s="11">
        <v>148.08653833298001</v>
      </c>
      <c r="R88" s="11">
        <v>148.09061520796999</v>
      </c>
      <c r="S88" s="11">
        <v>148.80567583296201</v>
      </c>
      <c r="T88" s="11">
        <v>-5</v>
      </c>
      <c r="U88" s="12" t="s">
        <v>32</v>
      </c>
      <c r="V88" s="11">
        <v>1</v>
      </c>
      <c r="W88" s="11">
        <v>0.71165812498657</v>
      </c>
      <c r="X88" s="12" t="s">
        <v>33</v>
      </c>
      <c r="Y88" s="11">
        <v>1</v>
      </c>
      <c r="Z88" s="11">
        <v>1</v>
      </c>
      <c r="AA88" s="12" t="s">
        <v>34</v>
      </c>
      <c r="AB88" s="12" t="s">
        <v>35</v>
      </c>
      <c r="AC88" s="13"/>
      <c r="AD88" s="12" t="s">
        <v>36</v>
      </c>
      <c r="AE88" s="12" t="s">
        <v>33</v>
      </c>
      <c r="AF88" s="12" t="s">
        <v>37</v>
      </c>
      <c r="AG88" s="13"/>
    </row>
    <row r="89" spans="1:33" ht="20" customHeight="1" x14ac:dyDescent="0.15">
      <c r="A89" s="9">
        <v>87</v>
      </c>
      <c r="B89" s="10">
        <v>0</v>
      </c>
      <c r="C89" s="11">
        <v>87</v>
      </c>
      <c r="D89" s="11">
        <v>-4</v>
      </c>
      <c r="E89" s="12" t="s">
        <v>32</v>
      </c>
      <c r="F89" s="11">
        <v>1</v>
      </c>
      <c r="G89" s="11">
        <v>0.55697612400399499</v>
      </c>
      <c r="H89" s="12" t="s">
        <v>33</v>
      </c>
      <c r="I89" s="11">
        <v>87</v>
      </c>
      <c r="J89" s="11">
        <v>0</v>
      </c>
      <c r="K89" s="11">
        <v>87</v>
      </c>
      <c r="L89" s="11">
        <v>0</v>
      </c>
      <c r="M89" s="11">
        <v>148.81352187495199</v>
      </c>
      <c r="N89" s="13"/>
      <c r="O89" s="11">
        <v>148.80624770797999</v>
      </c>
      <c r="P89" s="11">
        <v>148.81352187495199</v>
      </c>
      <c r="Q89" s="11">
        <v>149.80311349994699</v>
      </c>
      <c r="R89" s="11">
        <v>149.80672212498001</v>
      </c>
      <c r="S89" s="11">
        <v>150.37132249999601</v>
      </c>
      <c r="T89" s="11">
        <v>-4</v>
      </c>
      <c r="U89" s="12" t="s">
        <v>32</v>
      </c>
      <c r="V89" s="11">
        <v>1</v>
      </c>
      <c r="W89" s="11">
        <v>0.55697612400399499</v>
      </c>
      <c r="X89" s="12" t="s">
        <v>33</v>
      </c>
      <c r="Y89" s="11">
        <v>1</v>
      </c>
      <c r="Z89" s="11">
        <v>1</v>
      </c>
      <c r="AA89" s="12" t="s">
        <v>34</v>
      </c>
      <c r="AB89" s="12" t="s">
        <v>35</v>
      </c>
      <c r="AC89" s="13"/>
      <c r="AD89" s="12" t="s">
        <v>36</v>
      </c>
      <c r="AE89" s="12" t="s">
        <v>33</v>
      </c>
      <c r="AF89" s="12" t="s">
        <v>37</v>
      </c>
      <c r="AG89" s="13"/>
    </row>
    <row r="90" spans="1:33" ht="20" customHeight="1" x14ac:dyDescent="0.15">
      <c r="A90" s="9">
        <v>88</v>
      </c>
      <c r="B90" s="10">
        <v>0</v>
      </c>
      <c r="C90" s="11">
        <v>88</v>
      </c>
      <c r="D90" s="11">
        <v>0</v>
      </c>
      <c r="E90" s="12" t="s">
        <v>38</v>
      </c>
      <c r="F90" s="11">
        <v>1</v>
      </c>
      <c r="G90" s="11">
        <v>0.87926987500395604</v>
      </c>
      <c r="H90" s="12" t="s">
        <v>33</v>
      </c>
      <c r="I90" s="11">
        <v>88</v>
      </c>
      <c r="J90" s="11">
        <v>0</v>
      </c>
      <c r="K90" s="11">
        <v>88</v>
      </c>
      <c r="L90" s="11">
        <v>0</v>
      </c>
      <c r="M90" s="11">
        <v>150.37885524996099</v>
      </c>
      <c r="N90" s="13"/>
      <c r="O90" s="11">
        <v>150.37173437496</v>
      </c>
      <c r="P90" s="11">
        <v>150.37885524996099</v>
      </c>
      <c r="Q90" s="11">
        <v>151.36983212496901</v>
      </c>
      <c r="R90" s="11">
        <v>151.373320707993</v>
      </c>
      <c r="S90" s="11">
        <v>152.25542395794801</v>
      </c>
      <c r="T90" s="11">
        <v>0</v>
      </c>
      <c r="U90" s="12" t="s">
        <v>38</v>
      </c>
      <c r="V90" s="11">
        <v>1</v>
      </c>
      <c r="W90" s="11">
        <v>0.87926987500395604</v>
      </c>
      <c r="X90" s="12" t="s">
        <v>33</v>
      </c>
      <c r="Y90" s="11">
        <v>1</v>
      </c>
      <c r="Z90" s="11">
        <v>1</v>
      </c>
      <c r="AA90" s="12" t="s">
        <v>34</v>
      </c>
      <c r="AB90" s="12" t="s">
        <v>35</v>
      </c>
      <c r="AC90" s="13"/>
      <c r="AD90" s="12" t="s">
        <v>36</v>
      </c>
      <c r="AE90" s="12" t="s">
        <v>33</v>
      </c>
      <c r="AF90" s="12" t="s">
        <v>37</v>
      </c>
      <c r="AG90" s="13"/>
    </row>
    <row r="91" spans="1:33" ht="20" customHeight="1" x14ac:dyDescent="0.15">
      <c r="A91" s="9">
        <v>89</v>
      </c>
      <c r="B91" s="10">
        <v>0</v>
      </c>
      <c r="C91" s="11">
        <v>89</v>
      </c>
      <c r="D91" s="11">
        <v>3</v>
      </c>
      <c r="E91" s="12" t="s">
        <v>32</v>
      </c>
      <c r="F91" s="11">
        <v>1</v>
      </c>
      <c r="G91" s="11">
        <v>1.22593920800136</v>
      </c>
      <c r="H91" s="12" t="s">
        <v>33</v>
      </c>
      <c r="I91" s="11">
        <v>89</v>
      </c>
      <c r="J91" s="11">
        <v>0</v>
      </c>
      <c r="K91" s="11">
        <v>89</v>
      </c>
      <c r="L91" s="11">
        <v>0</v>
      </c>
      <c r="M91" s="11">
        <v>152.26309041696399</v>
      </c>
      <c r="N91" s="13"/>
      <c r="O91" s="11">
        <v>152.25590004195701</v>
      </c>
      <c r="P91" s="11">
        <v>152.26309041696399</v>
      </c>
      <c r="Q91" s="11">
        <v>153.25311954197201</v>
      </c>
      <c r="R91" s="11">
        <v>153.256652957993</v>
      </c>
      <c r="S91" s="11">
        <v>154.48796383297301</v>
      </c>
      <c r="T91" s="11">
        <v>3</v>
      </c>
      <c r="U91" s="12" t="s">
        <v>32</v>
      </c>
      <c r="V91" s="11">
        <v>1</v>
      </c>
      <c r="W91" s="11">
        <v>1.22593920800136</v>
      </c>
      <c r="X91" s="12" t="s">
        <v>33</v>
      </c>
      <c r="Y91" s="11">
        <v>1</v>
      </c>
      <c r="Z91" s="11">
        <v>1</v>
      </c>
      <c r="AA91" s="12" t="s">
        <v>34</v>
      </c>
      <c r="AB91" s="12" t="s">
        <v>35</v>
      </c>
      <c r="AC91" s="13"/>
      <c r="AD91" s="12" t="s">
        <v>36</v>
      </c>
      <c r="AE91" s="12" t="s">
        <v>33</v>
      </c>
      <c r="AF91" s="12" t="s">
        <v>37</v>
      </c>
      <c r="AG91" s="13"/>
    </row>
    <row r="92" spans="1:33" ht="20" customHeight="1" x14ac:dyDescent="0.15">
      <c r="A92" s="9">
        <v>90</v>
      </c>
      <c r="B92" s="10">
        <v>0</v>
      </c>
      <c r="C92" s="11">
        <v>90</v>
      </c>
      <c r="D92" s="11">
        <v>-4</v>
      </c>
      <c r="E92" s="12" t="s">
        <v>32</v>
      </c>
      <c r="F92" s="11">
        <v>1</v>
      </c>
      <c r="G92" s="11">
        <v>0.80357525002909802</v>
      </c>
      <c r="H92" s="12" t="s">
        <v>33</v>
      </c>
      <c r="I92" s="11">
        <v>90</v>
      </c>
      <c r="J92" s="11">
        <v>0</v>
      </c>
      <c r="K92" s="11">
        <v>90</v>
      </c>
      <c r="L92" s="11">
        <v>0</v>
      </c>
      <c r="M92" s="11">
        <v>154.495493832976</v>
      </c>
      <c r="N92" s="13"/>
      <c r="O92" s="11">
        <v>154.48843354196299</v>
      </c>
      <c r="P92" s="11">
        <v>154.495493832976</v>
      </c>
      <c r="Q92" s="11">
        <v>155.486388707999</v>
      </c>
      <c r="R92" s="11">
        <v>155.49012187495799</v>
      </c>
      <c r="S92" s="11">
        <v>156.29143245797599</v>
      </c>
      <c r="T92" s="11">
        <v>-4</v>
      </c>
      <c r="U92" s="12" t="s">
        <v>32</v>
      </c>
      <c r="V92" s="11">
        <v>1</v>
      </c>
      <c r="W92" s="11">
        <v>0.80357525002909802</v>
      </c>
      <c r="X92" s="12" t="s">
        <v>33</v>
      </c>
      <c r="Y92" s="11">
        <v>1</v>
      </c>
      <c r="Z92" s="11">
        <v>1</v>
      </c>
      <c r="AA92" s="12" t="s">
        <v>34</v>
      </c>
      <c r="AB92" s="12" t="s">
        <v>35</v>
      </c>
      <c r="AC92" s="13"/>
      <c r="AD92" s="12" t="s">
        <v>36</v>
      </c>
      <c r="AE92" s="12" t="s">
        <v>33</v>
      </c>
      <c r="AF92" s="12" t="s">
        <v>37</v>
      </c>
      <c r="AG92" s="13"/>
    </row>
    <row r="93" spans="1:33" ht="20" customHeight="1" x14ac:dyDescent="0.15">
      <c r="A93" s="9">
        <v>91</v>
      </c>
      <c r="B93" s="10">
        <v>0</v>
      </c>
      <c r="C93" s="11">
        <v>91</v>
      </c>
      <c r="D93" s="11">
        <v>-4</v>
      </c>
      <c r="E93" s="12" t="s">
        <v>32</v>
      </c>
      <c r="F93" s="11">
        <v>1</v>
      </c>
      <c r="G93" s="11">
        <v>0.676449416030664</v>
      </c>
      <c r="H93" s="12" t="s">
        <v>33</v>
      </c>
      <c r="I93" s="11">
        <v>91</v>
      </c>
      <c r="J93" s="11">
        <v>0</v>
      </c>
      <c r="K93" s="11">
        <v>91</v>
      </c>
      <c r="L93" s="11">
        <v>0</v>
      </c>
      <c r="M93" s="11">
        <v>156.303425499995</v>
      </c>
      <c r="N93" s="13"/>
      <c r="O93" s="11">
        <v>156.29185708297899</v>
      </c>
      <c r="P93" s="11">
        <v>156.303425499995</v>
      </c>
      <c r="Q93" s="11">
        <v>157.29044991696699</v>
      </c>
      <c r="R93" s="11">
        <v>157.29044991696699</v>
      </c>
      <c r="S93" s="11">
        <v>157.97156387497699</v>
      </c>
      <c r="T93" s="11">
        <v>-4</v>
      </c>
      <c r="U93" s="12" t="s">
        <v>32</v>
      </c>
      <c r="V93" s="11">
        <v>1</v>
      </c>
      <c r="W93" s="11">
        <v>0.676449416030664</v>
      </c>
      <c r="X93" s="12" t="s">
        <v>33</v>
      </c>
      <c r="Y93" s="11">
        <v>1</v>
      </c>
      <c r="Z93" s="11">
        <v>1</v>
      </c>
      <c r="AA93" s="12" t="s">
        <v>34</v>
      </c>
      <c r="AB93" s="12" t="s">
        <v>35</v>
      </c>
      <c r="AC93" s="13"/>
      <c r="AD93" s="12" t="s">
        <v>36</v>
      </c>
      <c r="AE93" s="12" t="s">
        <v>33</v>
      </c>
      <c r="AF93" s="12" t="s">
        <v>37</v>
      </c>
      <c r="AG93" s="13"/>
    </row>
    <row r="94" spans="1:33" ht="20" customHeight="1" x14ac:dyDescent="0.15">
      <c r="A94" s="9">
        <v>92</v>
      </c>
      <c r="B94" s="10">
        <v>0</v>
      </c>
      <c r="C94" s="11">
        <v>92</v>
      </c>
      <c r="D94" s="11">
        <v>0</v>
      </c>
      <c r="E94" s="12" t="s">
        <v>38</v>
      </c>
      <c r="F94" s="11">
        <v>1</v>
      </c>
      <c r="G94" s="11">
        <v>0.58705945796100401</v>
      </c>
      <c r="H94" s="12" t="s">
        <v>33</v>
      </c>
      <c r="I94" s="11">
        <v>92</v>
      </c>
      <c r="J94" s="11">
        <v>0</v>
      </c>
      <c r="K94" s="11">
        <v>92</v>
      </c>
      <c r="L94" s="11">
        <v>0</v>
      </c>
      <c r="M94" s="11">
        <v>157.976102582994</v>
      </c>
      <c r="N94" s="13"/>
      <c r="O94" s="11">
        <v>157.97199937497501</v>
      </c>
      <c r="P94" s="11">
        <v>157.976102582994</v>
      </c>
      <c r="Q94" s="11">
        <v>158.96979937498699</v>
      </c>
      <c r="R94" s="11">
        <v>158.974039249995</v>
      </c>
      <c r="S94" s="11">
        <v>159.570393207949</v>
      </c>
      <c r="T94" s="11">
        <v>0</v>
      </c>
      <c r="U94" s="12" t="s">
        <v>38</v>
      </c>
      <c r="V94" s="11">
        <v>1</v>
      </c>
      <c r="W94" s="11">
        <v>0.58705945796100401</v>
      </c>
      <c r="X94" s="12" t="s">
        <v>33</v>
      </c>
      <c r="Y94" s="11">
        <v>1</v>
      </c>
      <c r="Z94" s="11">
        <v>1</v>
      </c>
      <c r="AA94" s="12" t="s">
        <v>34</v>
      </c>
      <c r="AB94" s="12" t="s">
        <v>35</v>
      </c>
      <c r="AC94" s="13"/>
      <c r="AD94" s="12" t="s">
        <v>36</v>
      </c>
      <c r="AE94" s="12" t="s">
        <v>33</v>
      </c>
      <c r="AF94" s="12" t="s">
        <v>37</v>
      </c>
      <c r="AG94" s="13"/>
    </row>
    <row r="95" spans="1:33" ht="20" customHeight="1" x14ac:dyDescent="0.15">
      <c r="A95" s="9">
        <v>93</v>
      </c>
      <c r="B95" s="10">
        <v>0</v>
      </c>
      <c r="C95" s="11">
        <v>93</v>
      </c>
      <c r="D95" s="11">
        <v>0</v>
      </c>
      <c r="E95" s="12" t="s">
        <v>38</v>
      </c>
      <c r="F95" s="11">
        <v>1</v>
      </c>
      <c r="G95" s="11">
        <v>0.60562179196858801</v>
      </c>
      <c r="H95" s="12" t="s">
        <v>33</v>
      </c>
      <c r="I95" s="11">
        <v>93</v>
      </c>
      <c r="J95" s="11">
        <v>0</v>
      </c>
      <c r="K95" s="11">
        <v>93</v>
      </c>
      <c r="L95" s="11">
        <v>0</v>
      </c>
      <c r="M95" s="11">
        <v>159.57775691698799</v>
      </c>
      <c r="N95" s="13"/>
      <c r="O95" s="11">
        <v>159.570823332993</v>
      </c>
      <c r="P95" s="11">
        <v>159.57775691698799</v>
      </c>
      <c r="Q95" s="11">
        <v>160.55731249996501</v>
      </c>
      <c r="R95" s="11">
        <v>160.57384787499899</v>
      </c>
      <c r="S95" s="11">
        <v>161.17179624998201</v>
      </c>
      <c r="T95" s="11">
        <v>0</v>
      </c>
      <c r="U95" s="12" t="s">
        <v>38</v>
      </c>
      <c r="V95" s="11">
        <v>1</v>
      </c>
      <c r="W95" s="11">
        <v>0.60562179196858801</v>
      </c>
      <c r="X95" s="12" t="s">
        <v>33</v>
      </c>
      <c r="Y95" s="11">
        <v>1</v>
      </c>
      <c r="Z95" s="11">
        <v>1</v>
      </c>
      <c r="AA95" s="12" t="s">
        <v>34</v>
      </c>
      <c r="AB95" s="12" t="s">
        <v>35</v>
      </c>
      <c r="AC95" s="13"/>
      <c r="AD95" s="12" t="s">
        <v>36</v>
      </c>
      <c r="AE95" s="12" t="s">
        <v>33</v>
      </c>
      <c r="AF95" s="12" t="s">
        <v>37</v>
      </c>
      <c r="AG95" s="13"/>
    </row>
    <row r="96" spans="1:33" ht="20" customHeight="1" x14ac:dyDescent="0.15">
      <c r="A96" s="9">
        <v>94</v>
      </c>
      <c r="B96" s="10">
        <v>0</v>
      </c>
      <c r="C96" s="11">
        <v>94</v>
      </c>
      <c r="D96" s="11">
        <v>0</v>
      </c>
      <c r="E96" s="12" t="s">
        <v>38</v>
      </c>
      <c r="F96" s="11">
        <v>1</v>
      </c>
      <c r="G96" s="11">
        <v>0.58505891601089399</v>
      </c>
      <c r="H96" s="12" t="s">
        <v>33</v>
      </c>
      <c r="I96" s="11">
        <v>94</v>
      </c>
      <c r="J96" s="11">
        <v>0</v>
      </c>
      <c r="K96" s="11">
        <v>94</v>
      </c>
      <c r="L96" s="11">
        <v>0</v>
      </c>
      <c r="M96" s="11">
        <v>161.180833207967</v>
      </c>
      <c r="N96" s="13"/>
      <c r="O96" s="11">
        <v>161.17234691698101</v>
      </c>
      <c r="P96" s="11">
        <v>161.180833207967</v>
      </c>
      <c r="Q96" s="11">
        <v>162.169736207987</v>
      </c>
      <c r="R96" s="11">
        <v>162.17374104197401</v>
      </c>
      <c r="S96" s="11">
        <v>162.75884841696799</v>
      </c>
      <c r="T96" s="11">
        <v>0</v>
      </c>
      <c r="U96" s="12" t="s">
        <v>38</v>
      </c>
      <c r="V96" s="11">
        <v>1</v>
      </c>
      <c r="W96" s="11">
        <v>0.58505891601089399</v>
      </c>
      <c r="X96" s="12" t="s">
        <v>33</v>
      </c>
      <c r="Y96" s="11">
        <v>1</v>
      </c>
      <c r="Z96" s="11">
        <v>1</v>
      </c>
      <c r="AA96" s="12" t="s">
        <v>34</v>
      </c>
      <c r="AB96" s="12" t="s">
        <v>35</v>
      </c>
      <c r="AC96" s="13"/>
      <c r="AD96" s="12" t="s">
        <v>36</v>
      </c>
      <c r="AE96" s="12" t="s">
        <v>33</v>
      </c>
      <c r="AF96" s="12" t="s">
        <v>37</v>
      </c>
      <c r="AG96" s="13"/>
    </row>
    <row r="97" spans="1:33" ht="20" customHeight="1" x14ac:dyDescent="0.15">
      <c r="A97" s="9">
        <v>95</v>
      </c>
      <c r="B97" s="10">
        <v>0</v>
      </c>
      <c r="C97" s="11">
        <v>95</v>
      </c>
      <c r="D97" s="11">
        <v>0</v>
      </c>
      <c r="E97" s="12" t="s">
        <v>38</v>
      </c>
      <c r="F97" s="11">
        <v>1</v>
      </c>
      <c r="G97" s="11">
        <v>0.681156167003792</v>
      </c>
      <c r="H97" s="12" t="s">
        <v>33</v>
      </c>
      <c r="I97" s="11">
        <v>95</v>
      </c>
      <c r="J97" s="11">
        <v>0</v>
      </c>
      <c r="K97" s="11">
        <v>95</v>
      </c>
      <c r="L97" s="11">
        <v>0</v>
      </c>
      <c r="M97" s="11">
        <v>162.76976954197701</v>
      </c>
      <c r="N97" s="13"/>
      <c r="O97" s="11">
        <v>162.75938237499199</v>
      </c>
      <c r="P97" s="11">
        <v>162.76976954197701</v>
      </c>
      <c r="Q97" s="11">
        <v>163.75761449994801</v>
      </c>
      <c r="R97" s="11">
        <v>163.75761449994801</v>
      </c>
      <c r="S97" s="11">
        <v>164.441510042001</v>
      </c>
      <c r="T97" s="11">
        <v>0</v>
      </c>
      <c r="U97" s="12" t="s">
        <v>38</v>
      </c>
      <c r="V97" s="11">
        <v>1</v>
      </c>
      <c r="W97" s="11">
        <v>0.681156167003792</v>
      </c>
      <c r="X97" s="12" t="s">
        <v>33</v>
      </c>
      <c r="Y97" s="11">
        <v>1</v>
      </c>
      <c r="Z97" s="11">
        <v>1</v>
      </c>
      <c r="AA97" s="12" t="s">
        <v>34</v>
      </c>
      <c r="AB97" s="12" t="s">
        <v>35</v>
      </c>
      <c r="AC97" s="13"/>
      <c r="AD97" s="12" t="s">
        <v>36</v>
      </c>
      <c r="AE97" s="12" t="s">
        <v>33</v>
      </c>
      <c r="AF97" s="12" t="s">
        <v>37</v>
      </c>
      <c r="AG97" s="13"/>
    </row>
    <row r="98" spans="1:33" ht="20" customHeight="1" x14ac:dyDescent="0.15">
      <c r="A98" s="9">
        <v>96</v>
      </c>
      <c r="B98" s="10">
        <v>0</v>
      </c>
      <c r="C98" s="11">
        <v>96</v>
      </c>
      <c r="D98" s="11">
        <v>4</v>
      </c>
      <c r="E98" s="12" t="s">
        <v>32</v>
      </c>
      <c r="F98" s="11">
        <v>1</v>
      </c>
      <c r="G98" s="11">
        <v>0.53680091700516597</v>
      </c>
      <c r="H98" s="12" t="s">
        <v>33</v>
      </c>
      <c r="I98" s="11">
        <v>96</v>
      </c>
      <c r="J98" s="11">
        <v>0</v>
      </c>
      <c r="K98" s="11">
        <v>96</v>
      </c>
      <c r="L98" s="11">
        <v>0</v>
      </c>
      <c r="M98" s="11">
        <v>164.45318891695899</v>
      </c>
      <c r="N98" s="13"/>
      <c r="O98" s="11">
        <v>164.441977916984</v>
      </c>
      <c r="P98" s="11">
        <v>164.45318891695899</v>
      </c>
      <c r="Q98" s="11">
        <v>165.440979999956</v>
      </c>
      <c r="R98" s="11">
        <v>165.440979999956</v>
      </c>
      <c r="S98" s="11">
        <v>165.98846695799099</v>
      </c>
      <c r="T98" s="11">
        <v>4</v>
      </c>
      <c r="U98" s="12" t="s">
        <v>32</v>
      </c>
      <c r="V98" s="11">
        <v>1</v>
      </c>
      <c r="W98" s="11">
        <v>0.53680091700516597</v>
      </c>
      <c r="X98" s="12" t="s">
        <v>33</v>
      </c>
      <c r="Y98" s="11">
        <v>1</v>
      </c>
      <c r="Z98" s="11">
        <v>1</v>
      </c>
      <c r="AA98" s="12" t="s">
        <v>34</v>
      </c>
      <c r="AB98" s="12" t="s">
        <v>35</v>
      </c>
      <c r="AC98" s="13"/>
      <c r="AD98" s="12" t="s">
        <v>36</v>
      </c>
      <c r="AE98" s="12" t="s">
        <v>33</v>
      </c>
      <c r="AF98" s="12" t="s">
        <v>37</v>
      </c>
      <c r="AG98" s="13"/>
    </row>
    <row r="99" spans="1:33" ht="20" customHeight="1" x14ac:dyDescent="0.15">
      <c r="A99" s="9">
        <v>97</v>
      </c>
      <c r="B99" s="10">
        <v>0</v>
      </c>
      <c r="C99" s="11">
        <v>97</v>
      </c>
      <c r="D99" s="11">
        <v>0</v>
      </c>
      <c r="E99" s="12" t="s">
        <v>38</v>
      </c>
      <c r="F99" s="11">
        <v>1</v>
      </c>
      <c r="G99" s="11">
        <v>0.67124149901792396</v>
      </c>
      <c r="H99" s="12" t="s">
        <v>33</v>
      </c>
      <c r="I99" s="11">
        <v>97</v>
      </c>
      <c r="J99" s="11">
        <v>0</v>
      </c>
      <c r="K99" s="11">
        <v>97</v>
      </c>
      <c r="L99" s="11">
        <v>0</v>
      </c>
      <c r="M99" s="11">
        <v>165.99713912495599</v>
      </c>
      <c r="N99" s="13"/>
      <c r="O99" s="11">
        <v>165.989010082965</v>
      </c>
      <c r="P99" s="11">
        <v>165.99713912495599</v>
      </c>
      <c r="Q99" s="11">
        <v>166.98637583298799</v>
      </c>
      <c r="R99" s="11">
        <v>166.990226624999</v>
      </c>
      <c r="S99" s="11">
        <v>167.671568916994</v>
      </c>
      <c r="T99" s="11">
        <v>0</v>
      </c>
      <c r="U99" s="12" t="s">
        <v>38</v>
      </c>
      <c r="V99" s="11">
        <v>1</v>
      </c>
      <c r="W99" s="11">
        <v>0.67124149901792396</v>
      </c>
      <c r="X99" s="12" t="s">
        <v>33</v>
      </c>
      <c r="Y99" s="11">
        <v>1</v>
      </c>
      <c r="Z99" s="11">
        <v>1</v>
      </c>
      <c r="AA99" s="12" t="s">
        <v>34</v>
      </c>
      <c r="AB99" s="12" t="s">
        <v>35</v>
      </c>
      <c r="AC99" s="13"/>
      <c r="AD99" s="12" t="s">
        <v>36</v>
      </c>
      <c r="AE99" s="12" t="s">
        <v>33</v>
      </c>
      <c r="AF99" s="12" t="s">
        <v>37</v>
      </c>
      <c r="AG99" s="13"/>
    </row>
    <row r="100" spans="1:33" ht="20" customHeight="1" x14ac:dyDescent="0.15">
      <c r="A100" s="9">
        <v>98</v>
      </c>
      <c r="B100" s="10">
        <v>0</v>
      </c>
      <c r="C100" s="11">
        <v>98</v>
      </c>
      <c r="D100" s="11">
        <v>0</v>
      </c>
      <c r="E100" s="12" t="s">
        <v>38</v>
      </c>
      <c r="F100" s="11">
        <v>1</v>
      </c>
      <c r="G100" s="11">
        <v>0.598922873963602</v>
      </c>
      <c r="H100" s="12" t="s">
        <v>33</v>
      </c>
      <c r="I100" s="11">
        <v>98</v>
      </c>
      <c r="J100" s="11">
        <v>0</v>
      </c>
      <c r="K100" s="11">
        <v>98</v>
      </c>
      <c r="L100" s="11">
        <v>0</v>
      </c>
      <c r="M100" s="11">
        <v>167.679733457975</v>
      </c>
      <c r="N100" s="13"/>
      <c r="O100" s="11">
        <v>167.671999666956</v>
      </c>
      <c r="P100" s="11">
        <v>167.679733457975</v>
      </c>
      <c r="Q100" s="11">
        <v>168.66975800000401</v>
      </c>
      <c r="R100" s="11">
        <v>168.673720874998</v>
      </c>
      <c r="S100" s="11">
        <v>169.27136891696099</v>
      </c>
      <c r="T100" s="11">
        <v>0</v>
      </c>
      <c r="U100" s="12" t="s">
        <v>38</v>
      </c>
      <c r="V100" s="11">
        <v>1</v>
      </c>
      <c r="W100" s="11">
        <v>0.598922873963602</v>
      </c>
      <c r="X100" s="12" t="s">
        <v>33</v>
      </c>
      <c r="Y100" s="11">
        <v>1</v>
      </c>
      <c r="Z100" s="11">
        <v>1</v>
      </c>
      <c r="AA100" s="12" t="s">
        <v>34</v>
      </c>
      <c r="AB100" s="12" t="s">
        <v>35</v>
      </c>
      <c r="AC100" s="13"/>
      <c r="AD100" s="12" t="s">
        <v>36</v>
      </c>
      <c r="AE100" s="12" t="s">
        <v>33</v>
      </c>
      <c r="AF100" s="12" t="s">
        <v>37</v>
      </c>
      <c r="AG100" s="13"/>
    </row>
    <row r="101" spans="1:33" ht="20" customHeight="1" x14ac:dyDescent="0.15">
      <c r="A101" s="9">
        <v>99</v>
      </c>
      <c r="B101" s="10">
        <v>0</v>
      </c>
      <c r="C101" s="11">
        <v>99</v>
      </c>
      <c r="D101" s="11">
        <v>4</v>
      </c>
      <c r="E101" s="12" t="s">
        <v>32</v>
      </c>
      <c r="F101" s="11">
        <v>1</v>
      </c>
      <c r="G101" s="11">
        <v>0.489958958001807</v>
      </c>
      <c r="H101" s="12" t="s">
        <v>33</v>
      </c>
      <c r="I101" s="11">
        <v>99</v>
      </c>
      <c r="J101" s="11">
        <v>0</v>
      </c>
      <c r="K101" s="11">
        <v>99</v>
      </c>
      <c r="L101" s="11">
        <v>0</v>
      </c>
      <c r="M101" s="11">
        <v>169.27619712497099</v>
      </c>
      <c r="N101" s="13"/>
      <c r="O101" s="11">
        <v>169.27203979197699</v>
      </c>
      <c r="P101" s="11">
        <v>169.27619712497099</v>
      </c>
      <c r="Q101" s="11">
        <v>170.26966962497701</v>
      </c>
      <c r="R101" s="11">
        <v>170.27320245798899</v>
      </c>
      <c r="S101" s="11">
        <v>170.77168008295101</v>
      </c>
      <c r="T101" s="11">
        <v>4</v>
      </c>
      <c r="U101" s="12" t="s">
        <v>32</v>
      </c>
      <c r="V101" s="11">
        <v>1</v>
      </c>
      <c r="W101" s="11">
        <v>0.489958958001807</v>
      </c>
      <c r="X101" s="12" t="s">
        <v>33</v>
      </c>
      <c r="Y101" s="11">
        <v>1</v>
      </c>
      <c r="Z101" s="11">
        <v>1</v>
      </c>
      <c r="AA101" s="12" t="s">
        <v>34</v>
      </c>
      <c r="AB101" s="12" t="s">
        <v>35</v>
      </c>
      <c r="AC101" s="13"/>
      <c r="AD101" s="12" t="s">
        <v>36</v>
      </c>
      <c r="AE101" s="12" t="s">
        <v>33</v>
      </c>
      <c r="AF101" s="12" t="s">
        <v>37</v>
      </c>
      <c r="AG101" s="1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7763-3825-4145-97B5-204ED50F2CBA}">
  <dimension ref="A1:H102"/>
  <sheetViews>
    <sheetView topLeftCell="A53" zoomScale="106" zoomScaleNormal="141" workbookViewId="0">
      <selection activeCell="H103" sqref="H103"/>
    </sheetView>
  </sheetViews>
  <sheetFormatPr baseColWidth="10" defaultRowHeight="13" x14ac:dyDescent="0.15"/>
  <cols>
    <col min="1" max="1" width="12.83203125" style="1" customWidth="1"/>
    <col min="2" max="2" width="23.6640625" style="1" customWidth="1"/>
    <col min="3" max="3" width="29.33203125" style="1" customWidth="1"/>
  </cols>
  <sheetData>
    <row r="1" spans="1:8" x14ac:dyDescent="0.15">
      <c r="A1" s="2" t="s">
        <v>4</v>
      </c>
      <c r="B1" s="2" t="s">
        <v>5</v>
      </c>
      <c r="C1" s="2" t="s">
        <v>3</v>
      </c>
      <c r="E1" s="15" t="s">
        <v>39</v>
      </c>
      <c r="F1" s="15" t="s">
        <v>40</v>
      </c>
      <c r="G1" s="15" t="s">
        <v>41</v>
      </c>
      <c r="H1" s="15" t="s">
        <v>42</v>
      </c>
    </row>
    <row r="2" spans="1:8" x14ac:dyDescent="0.15">
      <c r="A2" s="7" t="s">
        <v>32</v>
      </c>
      <c r="B2" s="6">
        <v>0</v>
      </c>
      <c r="C2" s="6">
        <v>0</v>
      </c>
      <c r="F2">
        <v>1</v>
      </c>
    </row>
    <row r="3" spans="1:8" x14ac:dyDescent="0.15">
      <c r="A3" s="12" t="s">
        <v>32</v>
      </c>
      <c r="B3" s="11">
        <v>0</v>
      </c>
      <c r="C3" s="11">
        <v>0</v>
      </c>
      <c r="F3">
        <v>1</v>
      </c>
    </row>
    <row r="4" spans="1:8" x14ac:dyDescent="0.15">
      <c r="A4" s="12" t="s">
        <v>38</v>
      </c>
      <c r="B4" s="11">
        <v>1</v>
      </c>
      <c r="C4" s="11">
        <v>0</v>
      </c>
      <c r="E4">
        <v>1</v>
      </c>
    </row>
    <row r="5" spans="1:8" x14ac:dyDescent="0.15">
      <c r="A5" s="12" t="s">
        <v>38</v>
      </c>
      <c r="B5" s="11">
        <v>1</v>
      </c>
      <c r="C5" s="11">
        <v>0</v>
      </c>
      <c r="E5">
        <v>1</v>
      </c>
    </row>
    <row r="6" spans="1:8" x14ac:dyDescent="0.15">
      <c r="A6" s="12" t="s">
        <v>38</v>
      </c>
      <c r="B6" s="11">
        <v>1</v>
      </c>
      <c r="C6" s="11">
        <v>0</v>
      </c>
      <c r="E6">
        <v>1</v>
      </c>
    </row>
    <row r="7" spans="1:8" x14ac:dyDescent="0.15">
      <c r="A7" s="12" t="s">
        <v>38</v>
      </c>
      <c r="B7" s="11">
        <v>0</v>
      </c>
      <c r="C7" s="11">
        <v>-4</v>
      </c>
      <c r="G7">
        <v>1</v>
      </c>
    </row>
    <row r="8" spans="1:8" x14ac:dyDescent="0.15">
      <c r="A8" s="12" t="s">
        <v>32</v>
      </c>
      <c r="B8" s="11">
        <v>0</v>
      </c>
      <c r="C8" s="11">
        <v>0</v>
      </c>
      <c r="F8">
        <v>1</v>
      </c>
    </row>
    <row r="9" spans="1:8" x14ac:dyDescent="0.15">
      <c r="A9" s="12" t="s">
        <v>32</v>
      </c>
      <c r="B9" s="11">
        <v>1</v>
      </c>
      <c r="C9" s="11">
        <v>2</v>
      </c>
      <c r="H9">
        <v>1</v>
      </c>
    </row>
    <row r="10" spans="1:8" x14ac:dyDescent="0.15">
      <c r="A10" s="12" t="s">
        <v>32</v>
      </c>
      <c r="B10" s="11">
        <v>1</v>
      </c>
      <c r="C10" s="11">
        <v>2</v>
      </c>
      <c r="H10">
        <v>1</v>
      </c>
    </row>
    <row r="11" spans="1:8" x14ac:dyDescent="0.15">
      <c r="A11" s="12" t="s">
        <v>32</v>
      </c>
      <c r="B11" s="11">
        <v>0</v>
      </c>
      <c r="C11" s="11">
        <v>0</v>
      </c>
      <c r="F11">
        <v>1</v>
      </c>
    </row>
    <row r="12" spans="1:8" x14ac:dyDescent="0.15">
      <c r="A12" s="12" t="s">
        <v>38</v>
      </c>
      <c r="B12" s="11">
        <v>0</v>
      </c>
      <c r="C12" s="11">
        <v>-3</v>
      </c>
      <c r="G12">
        <v>1</v>
      </c>
    </row>
    <row r="13" spans="1:8" x14ac:dyDescent="0.15">
      <c r="A13" s="12" t="s">
        <v>32</v>
      </c>
      <c r="B13" s="11">
        <v>1</v>
      </c>
      <c r="C13" s="11">
        <v>-5</v>
      </c>
      <c r="H13">
        <v>1</v>
      </c>
    </row>
    <row r="14" spans="1:8" x14ac:dyDescent="0.15">
      <c r="A14" s="12" t="s">
        <v>32</v>
      </c>
      <c r="B14" s="11">
        <v>1</v>
      </c>
      <c r="C14" s="11">
        <v>-3</v>
      </c>
      <c r="H14">
        <v>1</v>
      </c>
    </row>
    <row r="15" spans="1:8" x14ac:dyDescent="0.15">
      <c r="A15" s="12" t="s">
        <v>32</v>
      </c>
      <c r="B15" s="11">
        <v>1</v>
      </c>
      <c r="C15" s="11">
        <v>4</v>
      </c>
      <c r="H15">
        <v>1</v>
      </c>
    </row>
    <row r="16" spans="1:8" x14ac:dyDescent="0.15">
      <c r="A16" s="12" t="s">
        <v>32</v>
      </c>
      <c r="B16" s="11">
        <v>0</v>
      </c>
      <c r="C16" s="11">
        <v>0</v>
      </c>
      <c r="F16">
        <v>1</v>
      </c>
    </row>
    <row r="17" spans="1:8" x14ac:dyDescent="0.15">
      <c r="A17" s="12" t="s">
        <v>32</v>
      </c>
      <c r="B17" s="11">
        <v>0</v>
      </c>
      <c r="C17" s="11">
        <v>0</v>
      </c>
      <c r="F17">
        <v>1</v>
      </c>
    </row>
    <row r="18" spans="1:8" x14ac:dyDescent="0.15">
      <c r="A18" s="12" t="s">
        <v>38</v>
      </c>
      <c r="B18" s="11">
        <v>0</v>
      </c>
      <c r="C18" s="11">
        <v>-2</v>
      </c>
      <c r="G18">
        <v>1</v>
      </c>
    </row>
    <row r="19" spans="1:8" x14ac:dyDescent="0.15">
      <c r="A19" s="12" t="s">
        <v>38</v>
      </c>
      <c r="B19" s="11">
        <v>0</v>
      </c>
      <c r="C19" s="11">
        <v>-2</v>
      </c>
      <c r="G19">
        <v>1</v>
      </c>
    </row>
    <row r="20" spans="1:8" x14ac:dyDescent="0.15">
      <c r="A20" s="12" t="s">
        <v>32</v>
      </c>
      <c r="B20" s="11">
        <v>0</v>
      </c>
      <c r="C20" s="11">
        <v>0</v>
      </c>
      <c r="F20">
        <v>1</v>
      </c>
    </row>
    <row r="21" spans="1:8" x14ac:dyDescent="0.15">
      <c r="A21" s="12" t="s">
        <v>32</v>
      </c>
      <c r="B21" s="11">
        <v>0</v>
      </c>
      <c r="C21" s="11">
        <v>0</v>
      </c>
      <c r="F21">
        <v>1</v>
      </c>
    </row>
    <row r="22" spans="1:8" x14ac:dyDescent="0.15">
      <c r="A22" s="12" t="s">
        <v>32</v>
      </c>
      <c r="B22" s="11">
        <v>0</v>
      </c>
      <c r="C22" s="11">
        <v>0</v>
      </c>
      <c r="F22">
        <v>1</v>
      </c>
    </row>
    <row r="23" spans="1:8" x14ac:dyDescent="0.15">
      <c r="A23" s="12" t="s">
        <v>38</v>
      </c>
      <c r="B23" s="11">
        <v>1</v>
      </c>
      <c r="C23" s="11">
        <v>0</v>
      </c>
      <c r="E23">
        <v>1</v>
      </c>
    </row>
    <row r="24" spans="1:8" x14ac:dyDescent="0.15">
      <c r="A24" s="12" t="s">
        <v>38</v>
      </c>
      <c r="B24" s="11">
        <v>0</v>
      </c>
      <c r="C24" s="11">
        <v>-2</v>
      </c>
      <c r="G24">
        <v>1</v>
      </c>
    </row>
    <row r="25" spans="1:8" x14ac:dyDescent="0.15">
      <c r="A25" s="12" t="s">
        <v>32</v>
      </c>
      <c r="B25" s="11">
        <v>0</v>
      </c>
      <c r="C25" s="11">
        <v>0</v>
      </c>
      <c r="F25">
        <v>1</v>
      </c>
    </row>
    <row r="26" spans="1:8" x14ac:dyDescent="0.15">
      <c r="A26" s="12" t="s">
        <v>32</v>
      </c>
      <c r="B26" s="11">
        <v>0</v>
      </c>
      <c r="C26" s="11">
        <v>0</v>
      </c>
      <c r="F26">
        <v>1</v>
      </c>
    </row>
    <row r="27" spans="1:8" x14ac:dyDescent="0.15">
      <c r="A27" s="12" t="s">
        <v>38</v>
      </c>
      <c r="B27" s="11">
        <v>0</v>
      </c>
      <c r="C27" s="11">
        <v>-3</v>
      </c>
      <c r="G27">
        <v>1</v>
      </c>
    </row>
    <row r="28" spans="1:8" x14ac:dyDescent="0.15">
      <c r="A28" s="12" t="s">
        <v>32</v>
      </c>
      <c r="B28" s="11">
        <v>1</v>
      </c>
      <c r="C28" s="11">
        <v>-5</v>
      </c>
      <c r="H28">
        <v>1</v>
      </c>
    </row>
    <row r="29" spans="1:8" x14ac:dyDescent="0.15">
      <c r="A29" s="12" t="s">
        <v>38</v>
      </c>
      <c r="B29" s="11">
        <v>0</v>
      </c>
      <c r="C29" s="11">
        <v>-4</v>
      </c>
      <c r="G29">
        <v>1</v>
      </c>
    </row>
    <row r="30" spans="1:8" x14ac:dyDescent="0.15">
      <c r="A30" s="12" t="s">
        <v>32</v>
      </c>
      <c r="B30" s="11">
        <v>1</v>
      </c>
      <c r="C30" s="11">
        <v>2</v>
      </c>
      <c r="H30">
        <v>1</v>
      </c>
    </row>
    <row r="31" spans="1:8" x14ac:dyDescent="0.15">
      <c r="A31" s="12" t="s">
        <v>32</v>
      </c>
      <c r="B31" s="11">
        <v>1</v>
      </c>
      <c r="C31" s="11">
        <v>-3</v>
      </c>
      <c r="H31">
        <v>1</v>
      </c>
    </row>
    <row r="32" spans="1:8" x14ac:dyDescent="0.15">
      <c r="A32" s="12" t="s">
        <v>32</v>
      </c>
      <c r="B32" s="11">
        <v>1</v>
      </c>
      <c r="C32" s="11">
        <v>2</v>
      </c>
      <c r="H32">
        <v>1</v>
      </c>
    </row>
    <row r="33" spans="1:8" x14ac:dyDescent="0.15">
      <c r="A33" s="12" t="s">
        <v>32</v>
      </c>
      <c r="B33" s="11">
        <v>0</v>
      </c>
      <c r="C33" s="11">
        <v>0</v>
      </c>
      <c r="F33">
        <v>1</v>
      </c>
    </row>
    <row r="34" spans="1:8" x14ac:dyDescent="0.15">
      <c r="A34" s="12" t="s">
        <v>32</v>
      </c>
      <c r="B34" s="11">
        <v>1</v>
      </c>
      <c r="C34" s="11">
        <v>2</v>
      </c>
      <c r="H34">
        <v>1</v>
      </c>
    </row>
    <row r="35" spans="1:8" x14ac:dyDescent="0.15">
      <c r="A35" s="12" t="s">
        <v>38</v>
      </c>
      <c r="B35" s="11">
        <v>0</v>
      </c>
      <c r="C35" s="11">
        <v>-4</v>
      </c>
      <c r="G35">
        <v>1</v>
      </c>
    </row>
    <row r="36" spans="1:8" x14ac:dyDescent="0.15">
      <c r="A36" s="12" t="s">
        <v>32</v>
      </c>
      <c r="B36" s="11">
        <v>0</v>
      </c>
      <c r="C36" s="11">
        <v>0</v>
      </c>
      <c r="F36">
        <v>1</v>
      </c>
    </row>
    <row r="37" spans="1:8" x14ac:dyDescent="0.15">
      <c r="A37" s="12" t="s">
        <v>32</v>
      </c>
      <c r="B37" s="11">
        <v>0</v>
      </c>
      <c r="C37" s="11">
        <v>0</v>
      </c>
      <c r="F37">
        <v>1</v>
      </c>
    </row>
    <row r="38" spans="1:8" x14ac:dyDescent="0.15">
      <c r="A38" s="12" t="s">
        <v>32</v>
      </c>
      <c r="B38" s="11">
        <v>1</v>
      </c>
      <c r="C38" s="11">
        <v>1</v>
      </c>
      <c r="H38">
        <v>1</v>
      </c>
    </row>
    <row r="39" spans="1:8" x14ac:dyDescent="0.15">
      <c r="A39" s="12" t="s">
        <v>32</v>
      </c>
      <c r="B39" s="11">
        <v>0</v>
      </c>
      <c r="C39" s="11">
        <v>0</v>
      </c>
      <c r="F39">
        <v>1</v>
      </c>
    </row>
    <row r="40" spans="1:8" x14ac:dyDescent="0.15">
      <c r="A40" s="12" t="s">
        <v>38</v>
      </c>
      <c r="B40" s="11">
        <v>1</v>
      </c>
      <c r="C40" s="11">
        <v>0</v>
      </c>
      <c r="E40">
        <v>1</v>
      </c>
    </row>
    <row r="41" spans="1:8" x14ac:dyDescent="0.15">
      <c r="A41" s="12" t="s">
        <v>32</v>
      </c>
      <c r="B41" s="11">
        <v>0</v>
      </c>
      <c r="C41" s="11">
        <v>0</v>
      </c>
      <c r="F41">
        <v>1</v>
      </c>
    </row>
    <row r="42" spans="1:8" x14ac:dyDescent="0.15">
      <c r="A42" s="12" t="s">
        <v>32</v>
      </c>
      <c r="B42" s="11">
        <v>1</v>
      </c>
      <c r="C42" s="11">
        <v>-4</v>
      </c>
      <c r="H42">
        <v>1</v>
      </c>
    </row>
    <row r="43" spans="1:8" x14ac:dyDescent="0.15">
      <c r="A43" s="12" t="s">
        <v>38</v>
      </c>
      <c r="B43" s="11">
        <v>1</v>
      </c>
      <c r="C43" s="11">
        <v>0</v>
      </c>
      <c r="E43">
        <v>1</v>
      </c>
    </row>
    <row r="44" spans="1:8" x14ac:dyDescent="0.15">
      <c r="A44" s="12" t="s">
        <v>38</v>
      </c>
      <c r="B44" s="11">
        <v>1</v>
      </c>
      <c r="C44" s="11">
        <v>0</v>
      </c>
      <c r="E44">
        <v>1</v>
      </c>
    </row>
    <row r="45" spans="1:8" x14ac:dyDescent="0.15">
      <c r="A45" s="12" t="s">
        <v>32</v>
      </c>
      <c r="B45" s="11">
        <v>1</v>
      </c>
      <c r="C45" s="11">
        <v>4</v>
      </c>
      <c r="H45">
        <v>1</v>
      </c>
    </row>
    <row r="46" spans="1:8" x14ac:dyDescent="0.15">
      <c r="A46" s="12" t="s">
        <v>32</v>
      </c>
      <c r="B46" s="11">
        <v>1</v>
      </c>
      <c r="C46" s="11">
        <v>2</v>
      </c>
      <c r="H46">
        <v>1</v>
      </c>
    </row>
    <row r="47" spans="1:8" x14ac:dyDescent="0.15">
      <c r="A47" s="12" t="s">
        <v>38</v>
      </c>
      <c r="B47" s="11">
        <v>1</v>
      </c>
      <c r="C47" s="11">
        <v>0</v>
      </c>
      <c r="E47">
        <v>1</v>
      </c>
    </row>
    <row r="48" spans="1:8" x14ac:dyDescent="0.15">
      <c r="A48" s="12" t="s">
        <v>38</v>
      </c>
      <c r="B48" s="11">
        <v>1</v>
      </c>
      <c r="C48" s="11">
        <v>0</v>
      </c>
      <c r="E48">
        <v>1</v>
      </c>
    </row>
    <row r="49" spans="1:8" x14ac:dyDescent="0.15">
      <c r="A49" s="12" t="s">
        <v>38</v>
      </c>
      <c r="B49" s="11">
        <v>1</v>
      </c>
      <c r="C49" s="11">
        <v>0</v>
      </c>
      <c r="E49">
        <v>1</v>
      </c>
    </row>
    <row r="50" spans="1:8" x14ac:dyDescent="0.15">
      <c r="A50" s="12" t="s">
        <v>32</v>
      </c>
      <c r="B50" s="11">
        <v>1</v>
      </c>
      <c r="C50" s="11">
        <v>-5</v>
      </c>
      <c r="H50">
        <v>1</v>
      </c>
    </row>
    <row r="51" spans="1:8" x14ac:dyDescent="0.15">
      <c r="A51" s="12" t="s">
        <v>38</v>
      </c>
      <c r="B51" s="11">
        <v>1</v>
      </c>
      <c r="C51" s="11">
        <v>0</v>
      </c>
      <c r="E51">
        <v>1</v>
      </c>
    </row>
    <row r="52" spans="1:8" x14ac:dyDescent="0.15">
      <c r="A52" s="12" t="s">
        <v>32</v>
      </c>
      <c r="B52" s="11">
        <v>0</v>
      </c>
      <c r="C52" s="11">
        <v>0</v>
      </c>
      <c r="F52">
        <v>1</v>
      </c>
    </row>
    <row r="53" spans="1:8" x14ac:dyDescent="0.15">
      <c r="A53" s="12" t="s">
        <v>38</v>
      </c>
      <c r="B53" s="11">
        <v>1</v>
      </c>
      <c r="C53" s="11">
        <v>0</v>
      </c>
      <c r="E53">
        <v>1</v>
      </c>
    </row>
    <row r="54" spans="1:8" x14ac:dyDescent="0.15">
      <c r="A54" s="12" t="s">
        <v>32</v>
      </c>
      <c r="B54" s="11">
        <v>1</v>
      </c>
      <c r="C54" s="11">
        <v>-3</v>
      </c>
      <c r="H54">
        <v>1</v>
      </c>
    </row>
    <row r="55" spans="1:8" x14ac:dyDescent="0.15">
      <c r="A55" s="12" t="s">
        <v>32</v>
      </c>
      <c r="B55" s="11">
        <v>0</v>
      </c>
      <c r="C55" s="11">
        <v>0</v>
      </c>
      <c r="F55">
        <v>1</v>
      </c>
    </row>
    <row r="56" spans="1:8" x14ac:dyDescent="0.15">
      <c r="A56" s="12" t="s">
        <v>38</v>
      </c>
      <c r="B56" s="11">
        <v>1</v>
      </c>
      <c r="C56" s="11">
        <v>0</v>
      </c>
      <c r="E56">
        <v>1</v>
      </c>
    </row>
    <row r="57" spans="1:8" x14ac:dyDescent="0.15">
      <c r="A57" s="12" t="s">
        <v>32</v>
      </c>
      <c r="B57" s="11">
        <v>1</v>
      </c>
      <c r="C57" s="11">
        <v>2</v>
      </c>
      <c r="H57">
        <v>1</v>
      </c>
    </row>
    <row r="58" spans="1:8" x14ac:dyDescent="0.15">
      <c r="A58" s="12" t="s">
        <v>32</v>
      </c>
      <c r="B58" s="11">
        <v>0</v>
      </c>
      <c r="C58" s="11">
        <v>0</v>
      </c>
      <c r="F58">
        <v>1</v>
      </c>
    </row>
    <row r="59" spans="1:8" x14ac:dyDescent="0.15">
      <c r="A59" s="12" t="s">
        <v>38</v>
      </c>
      <c r="B59" s="11">
        <v>1</v>
      </c>
      <c r="C59" s="11">
        <v>0</v>
      </c>
      <c r="E59">
        <v>1</v>
      </c>
    </row>
    <row r="60" spans="1:8" x14ac:dyDescent="0.15">
      <c r="A60" s="12" t="s">
        <v>32</v>
      </c>
      <c r="B60" s="11">
        <v>0</v>
      </c>
      <c r="C60" s="11">
        <v>0</v>
      </c>
      <c r="F60">
        <v>1</v>
      </c>
    </row>
    <row r="61" spans="1:8" x14ac:dyDescent="0.15">
      <c r="A61" s="12" t="s">
        <v>32</v>
      </c>
      <c r="B61" s="11">
        <v>0</v>
      </c>
      <c r="C61" s="11">
        <v>0</v>
      </c>
      <c r="F61">
        <v>1</v>
      </c>
    </row>
    <row r="62" spans="1:8" x14ac:dyDescent="0.15">
      <c r="A62" s="12" t="s">
        <v>32</v>
      </c>
      <c r="B62" s="11">
        <v>0</v>
      </c>
      <c r="C62" s="11">
        <v>0</v>
      </c>
      <c r="F62">
        <v>1</v>
      </c>
    </row>
    <row r="63" spans="1:8" x14ac:dyDescent="0.15">
      <c r="A63" s="12" t="s">
        <v>32</v>
      </c>
      <c r="B63" s="11">
        <v>1</v>
      </c>
      <c r="C63" s="11">
        <v>2</v>
      </c>
      <c r="H63">
        <v>1</v>
      </c>
    </row>
    <row r="64" spans="1:8" x14ac:dyDescent="0.15">
      <c r="A64" s="12" t="s">
        <v>32</v>
      </c>
      <c r="B64" s="11">
        <v>1</v>
      </c>
      <c r="C64" s="11">
        <v>2</v>
      </c>
      <c r="H64">
        <v>1</v>
      </c>
    </row>
    <row r="65" spans="1:8" x14ac:dyDescent="0.15">
      <c r="A65" s="12" t="s">
        <v>32</v>
      </c>
      <c r="B65" s="11">
        <v>1</v>
      </c>
      <c r="C65" s="11">
        <v>2</v>
      </c>
      <c r="H65">
        <v>1</v>
      </c>
    </row>
    <row r="66" spans="1:8" x14ac:dyDescent="0.15">
      <c r="A66" s="12" t="s">
        <v>32</v>
      </c>
      <c r="B66" s="11">
        <v>0</v>
      </c>
      <c r="C66" s="11">
        <v>0</v>
      </c>
      <c r="F66">
        <v>1</v>
      </c>
    </row>
    <row r="67" spans="1:8" x14ac:dyDescent="0.15">
      <c r="A67" s="12" t="s">
        <v>38</v>
      </c>
      <c r="B67" s="11">
        <v>0</v>
      </c>
      <c r="C67" s="11">
        <v>-5</v>
      </c>
      <c r="G67">
        <v>1</v>
      </c>
    </row>
    <row r="68" spans="1:8" x14ac:dyDescent="0.15">
      <c r="A68" s="12" t="s">
        <v>38</v>
      </c>
      <c r="B68" s="11">
        <v>1</v>
      </c>
      <c r="C68" s="11">
        <v>0</v>
      </c>
      <c r="E68">
        <v>1</v>
      </c>
    </row>
    <row r="69" spans="1:8" x14ac:dyDescent="0.15">
      <c r="A69" s="12" t="s">
        <v>32</v>
      </c>
      <c r="B69" s="11">
        <v>1</v>
      </c>
      <c r="C69" s="11">
        <v>3</v>
      </c>
      <c r="H69">
        <v>1</v>
      </c>
    </row>
    <row r="70" spans="1:8" x14ac:dyDescent="0.15">
      <c r="A70" s="12" t="s">
        <v>38</v>
      </c>
      <c r="B70" s="11">
        <v>1</v>
      </c>
      <c r="C70" s="11">
        <v>0</v>
      </c>
      <c r="E70">
        <v>1</v>
      </c>
    </row>
    <row r="71" spans="1:8" x14ac:dyDescent="0.15">
      <c r="A71" s="12" t="s">
        <v>32</v>
      </c>
      <c r="B71" s="11">
        <v>1</v>
      </c>
      <c r="C71" s="11">
        <v>4</v>
      </c>
      <c r="H71">
        <v>1</v>
      </c>
    </row>
    <row r="72" spans="1:8" x14ac:dyDescent="0.15">
      <c r="A72" s="12" t="s">
        <v>32</v>
      </c>
      <c r="B72" s="11">
        <v>1</v>
      </c>
      <c r="C72" s="11">
        <v>-5</v>
      </c>
      <c r="H72">
        <v>1</v>
      </c>
    </row>
    <row r="73" spans="1:8" x14ac:dyDescent="0.15">
      <c r="A73" s="12" t="s">
        <v>38</v>
      </c>
      <c r="B73" s="11">
        <v>1</v>
      </c>
      <c r="C73" s="11">
        <v>0</v>
      </c>
      <c r="E73">
        <v>1</v>
      </c>
    </row>
    <row r="74" spans="1:8" x14ac:dyDescent="0.15">
      <c r="A74" s="12" t="s">
        <v>38</v>
      </c>
      <c r="B74" s="11">
        <v>0</v>
      </c>
      <c r="C74" s="11">
        <v>-2</v>
      </c>
      <c r="G74">
        <v>1</v>
      </c>
    </row>
    <row r="75" spans="1:8" x14ac:dyDescent="0.15">
      <c r="A75" s="12" t="s">
        <v>32</v>
      </c>
      <c r="B75" s="11">
        <v>1</v>
      </c>
      <c r="C75" s="11">
        <v>-4</v>
      </c>
      <c r="H75">
        <v>1</v>
      </c>
    </row>
    <row r="76" spans="1:8" x14ac:dyDescent="0.15">
      <c r="A76" s="12" t="s">
        <v>32</v>
      </c>
      <c r="B76" s="11">
        <v>1</v>
      </c>
      <c r="C76" s="11">
        <v>1</v>
      </c>
      <c r="H76">
        <v>1</v>
      </c>
    </row>
    <row r="77" spans="1:8" x14ac:dyDescent="0.15">
      <c r="A77" s="12" t="s">
        <v>38</v>
      </c>
      <c r="B77" s="11">
        <v>0</v>
      </c>
      <c r="C77" s="11">
        <v>-3</v>
      </c>
      <c r="G77">
        <v>1</v>
      </c>
    </row>
    <row r="78" spans="1:8" x14ac:dyDescent="0.15">
      <c r="A78" s="12" t="s">
        <v>32</v>
      </c>
      <c r="B78" s="11">
        <v>1</v>
      </c>
      <c r="C78" s="11">
        <v>4</v>
      </c>
      <c r="H78">
        <v>1</v>
      </c>
    </row>
    <row r="79" spans="1:8" x14ac:dyDescent="0.15">
      <c r="A79" s="12" t="s">
        <v>32</v>
      </c>
      <c r="B79" s="11">
        <v>1</v>
      </c>
      <c r="C79" s="11">
        <v>3</v>
      </c>
      <c r="H79">
        <v>1</v>
      </c>
    </row>
    <row r="80" spans="1:8" x14ac:dyDescent="0.15">
      <c r="A80" s="12" t="s">
        <v>32</v>
      </c>
      <c r="B80" s="11">
        <v>1</v>
      </c>
      <c r="C80" s="11">
        <v>1</v>
      </c>
      <c r="H80">
        <v>1</v>
      </c>
    </row>
    <row r="81" spans="1:8" x14ac:dyDescent="0.15">
      <c r="A81" s="12" t="s">
        <v>32</v>
      </c>
      <c r="B81" s="11">
        <v>1</v>
      </c>
      <c r="C81" s="11">
        <v>2</v>
      </c>
      <c r="H81">
        <v>1</v>
      </c>
    </row>
    <row r="82" spans="1:8" x14ac:dyDescent="0.15">
      <c r="A82" s="12" t="s">
        <v>38</v>
      </c>
      <c r="B82" s="11">
        <v>1</v>
      </c>
      <c r="C82" s="11">
        <v>0</v>
      </c>
      <c r="E82">
        <v>1</v>
      </c>
    </row>
    <row r="83" spans="1:8" x14ac:dyDescent="0.15">
      <c r="A83" s="12" t="s">
        <v>32</v>
      </c>
      <c r="B83" s="11">
        <v>1</v>
      </c>
      <c r="C83" s="11">
        <v>2</v>
      </c>
      <c r="H83">
        <v>1</v>
      </c>
    </row>
    <row r="84" spans="1:8" x14ac:dyDescent="0.15">
      <c r="A84" s="12" t="s">
        <v>32</v>
      </c>
      <c r="B84" s="11">
        <v>0</v>
      </c>
      <c r="C84" s="11">
        <v>0</v>
      </c>
      <c r="F84">
        <v>1</v>
      </c>
    </row>
    <row r="85" spans="1:8" x14ac:dyDescent="0.15">
      <c r="A85" s="12" t="s">
        <v>38</v>
      </c>
      <c r="B85" s="11">
        <v>0</v>
      </c>
      <c r="C85" s="11">
        <v>-3</v>
      </c>
      <c r="G85">
        <v>1</v>
      </c>
    </row>
    <row r="86" spans="1:8" x14ac:dyDescent="0.15">
      <c r="A86" s="12" t="s">
        <v>32</v>
      </c>
      <c r="B86" s="11">
        <v>1</v>
      </c>
      <c r="C86" s="11">
        <v>-5</v>
      </c>
      <c r="H86">
        <v>1</v>
      </c>
    </row>
    <row r="87" spans="1:8" x14ac:dyDescent="0.15">
      <c r="A87" s="12" t="s">
        <v>32</v>
      </c>
      <c r="B87" s="11">
        <v>1</v>
      </c>
      <c r="C87" s="11">
        <v>-4</v>
      </c>
      <c r="H87">
        <v>1</v>
      </c>
    </row>
    <row r="88" spans="1:8" x14ac:dyDescent="0.15">
      <c r="A88" s="12" t="s">
        <v>32</v>
      </c>
      <c r="B88" s="11">
        <v>1</v>
      </c>
      <c r="C88" s="11">
        <v>-5</v>
      </c>
      <c r="H88">
        <v>1</v>
      </c>
    </row>
    <row r="89" spans="1:8" x14ac:dyDescent="0.15">
      <c r="A89" s="12" t="s">
        <v>32</v>
      </c>
      <c r="B89" s="11">
        <v>1</v>
      </c>
      <c r="C89" s="11">
        <v>-4</v>
      </c>
      <c r="H89">
        <v>1</v>
      </c>
    </row>
    <row r="90" spans="1:8" x14ac:dyDescent="0.15">
      <c r="A90" s="12" t="s">
        <v>38</v>
      </c>
      <c r="B90" s="11">
        <v>1</v>
      </c>
      <c r="C90" s="11">
        <v>0</v>
      </c>
      <c r="E90">
        <v>1</v>
      </c>
    </row>
    <row r="91" spans="1:8" x14ac:dyDescent="0.15">
      <c r="A91" s="12" t="s">
        <v>32</v>
      </c>
      <c r="B91" s="11">
        <v>1</v>
      </c>
      <c r="C91" s="11">
        <v>3</v>
      </c>
      <c r="H91">
        <v>1</v>
      </c>
    </row>
    <row r="92" spans="1:8" x14ac:dyDescent="0.15">
      <c r="A92" s="12" t="s">
        <v>32</v>
      </c>
      <c r="B92" s="11">
        <v>1</v>
      </c>
      <c r="C92" s="11">
        <v>-4</v>
      </c>
      <c r="H92">
        <v>1</v>
      </c>
    </row>
    <row r="93" spans="1:8" x14ac:dyDescent="0.15">
      <c r="A93" s="12" t="s">
        <v>32</v>
      </c>
      <c r="B93" s="11">
        <v>1</v>
      </c>
      <c r="C93" s="11">
        <v>-4</v>
      </c>
      <c r="H93">
        <v>1</v>
      </c>
    </row>
    <row r="94" spans="1:8" x14ac:dyDescent="0.15">
      <c r="A94" s="12" t="s">
        <v>38</v>
      </c>
      <c r="B94" s="11">
        <v>1</v>
      </c>
      <c r="C94" s="11">
        <v>0</v>
      </c>
      <c r="E94">
        <v>1</v>
      </c>
    </row>
    <row r="95" spans="1:8" x14ac:dyDescent="0.15">
      <c r="A95" s="12" t="s">
        <v>38</v>
      </c>
      <c r="B95" s="11">
        <v>1</v>
      </c>
      <c r="C95" s="11">
        <v>0</v>
      </c>
      <c r="E95">
        <v>1</v>
      </c>
    </row>
    <row r="96" spans="1:8" x14ac:dyDescent="0.15">
      <c r="A96" s="12" t="s">
        <v>38</v>
      </c>
      <c r="B96" s="11">
        <v>1</v>
      </c>
      <c r="C96" s="11">
        <v>0</v>
      </c>
      <c r="E96">
        <v>1</v>
      </c>
    </row>
    <row r="97" spans="1:8" x14ac:dyDescent="0.15">
      <c r="A97" s="12" t="s">
        <v>38</v>
      </c>
      <c r="B97" s="11">
        <v>1</v>
      </c>
      <c r="C97" s="11">
        <v>0</v>
      </c>
      <c r="E97">
        <v>1</v>
      </c>
    </row>
    <row r="98" spans="1:8" x14ac:dyDescent="0.15">
      <c r="A98" s="12" t="s">
        <v>32</v>
      </c>
      <c r="B98" s="11">
        <v>1</v>
      </c>
      <c r="C98" s="11">
        <v>4</v>
      </c>
      <c r="H98">
        <v>1</v>
      </c>
    </row>
    <row r="99" spans="1:8" x14ac:dyDescent="0.15">
      <c r="A99" s="12" t="s">
        <v>38</v>
      </c>
      <c r="B99" s="11">
        <v>1</v>
      </c>
      <c r="C99" s="11">
        <v>0</v>
      </c>
      <c r="E99">
        <v>1</v>
      </c>
    </row>
    <row r="100" spans="1:8" x14ac:dyDescent="0.15">
      <c r="A100" s="12" t="s">
        <v>38</v>
      </c>
      <c r="B100" s="11">
        <v>1</v>
      </c>
      <c r="C100" s="11">
        <v>0</v>
      </c>
      <c r="E100">
        <v>1</v>
      </c>
    </row>
    <row r="101" spans="1:8" x14ac:dyDescent="0.15">
      <c r="A101" s="12" t="s">
        <v>32</v>
      </c>
      <c r="B101" s="11">
        <v>1</v>
      </c>
      <c r="C101" s="11">
        <v>4</v>
      </c>
      <c r="H101">
        <v>1</v>
      </c>
    </row>
    <row r="102" spans="1:8" ht="14" x14ac:dyDescent="0.15">
      <c r="D102" s="14" t="s">
        <v>43</v>
      </c>
      <c r="E102">
        <v>25</v>
      </c>
      <c r="F102">
        <v>24</v>
      </c>
      <c r="G102">
        <v>12</v>
      </c>
      <c r="H102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3E43-A931-7B43-AAFB-084D0E3AC60E}">
  <dimension ref="A4:F12"/>
  <sheetViews>
    <sheetView tabSelected="1" workbookViewId="0">
      <selection activeCell="E12" sqref="E12"/>
    </sheetView>
  </sheetViews>
  <sheetFormatPr baseColWidth="10" defaultRowHeight="13" x14ac:dyDescent="0.15"/>
  <cols>
    <col min="1" max="1" width="16.83203125" customWidth="1"/>
    <col min="2" max="2" width="22.6640625" customWidth="1"/>
    <col min="3" max="3" width="26.1640625" customWidth="1"/>
    <col min="5" max="5" width="52.33203125" customWidth="1"/>
    <col min="6" max="6" width="11.6640625" bestFit="1" customWidth="1"/>
  </cols>
  <sheetData>
    <row r="4" spans="1:6" ht="14" x14ac:dyDescent="0.15">
      <c r="B4" s="14" t="s">
        <v>44</v>
      </c>
      <c r="C4" s="14" t="s">
        <v>45</v>
      </c>
      <c r="E4" s="14" t="s">
        <v>52</v>
      </c>
      <c r="F4">
        <f>B10/(B10+C10)</f>
        <v>0.51020408163265307</v>
      </c>
    </row>
    <row r="5" spans="1:6" ht="14" x14ac:dyDescent="0.15">
      <c r="A5" s="14" t="s">
        <v>46</v>
      </c>
      <c r="B5" s="14" t="s">
        <v>47</v>
      </c>
      <c r="C5" s="14" t="s">
        <v>48</v>
      </c>
      <c r="E5" s="14" t="s">
        <v>53</v>
      </c>
      <c r="F5">
        <f>B11/(B11+C11)</f>
        <v>0.23529411764705882</v>
      </c>
    </row>
    <row r="6" spans="1:6" ht="14" x14ac:dyDescent="0.15">
      <c r="A6" s="14" t="s">
        <v>49</v>
      </c>
      <c r="B6" s="14" t="s">
        <v>50</v>
      </c>
      <c r="C6" s="14" t="s">
        <v>51</v>
      </c>
    </row>
    <row r="9" spans="1:6" ht="14" x14ac:dyDescent="0.15">
      <c r="B9" s="14" t="s">
        <v>44</v>
      </c>
      <c r="C9" s="14" t="s">
        <v>45</v>
      </c>
      <c r="E9" s="14" t="s">
        <v>54</v>
      </c>
      <c r="F9">
        <f>_xlfn.NORM.S.INV(F4)  -_xlfn.NORM.S.INV(F5)</f>
        <v>0.74710291310559573</v>
      </c>
    </row>
    <row r="10" spans="1:6" ht="14" x14ac:dyDescent="0.15">
      <c r="A10" s="14" t="s">
        <v>46</v>
      </c>
      <c r="B10">
        <v>25</v>
      </c>
      <c r="C10" s="14">
        <v>24</v>
      </c>
      <c r="E10" s="14" t="s">
        <v>55</v>
      </c>
      <c r="F10">
        <f>-((_xlfn.NORM.S.INV(F4) + _xlfn.NORM.S.INV(F5))/2)</f>
        <v>0.34797082742954544</v>
      </c>
    </row>
    <row r="11" spans="1:6" ht="14" x14ac:dyDescent="0.15">
      <c r="A11" s="14" t="s">
        <v>49</v>
      </c>
      <c r="B11">
        <v>12</v>
      </c>
      <c r="C11">
        <v>39</v>
      </c>
    </row>
    <row r="12" spans="1:6" ht="28" x14ac:dyDescent="0.15">
      <c r="F12" s="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charvithakkar13@gmail.com</cp:lastModifiedBy>
  <dcterms:modified xsi:type="dcterms:W3CDTF">2025-09-10T20:26:52Z</dcterms:modified>
</cp:coreProperties>
</file>