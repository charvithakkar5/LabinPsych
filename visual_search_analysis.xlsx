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2E44347E-705B-514D-B518-0D20D14F3D8F}" xr6:coauthVersionLast="47" xr6:coauthVersionMax="47" xr10:uidLastSave="{00000000-0000-0000-0000-000000000000}"/>
  <bookViews>
    <workbookView xWindow="17160" yWindow="1020" windowWidth="16880" windowHeight="21080" activeTab="1" xr2:uid="{0EC798DB-5EE5-A744-AB16-A454C630E9D6}"/>
  </bookViews>
  <sheets>
    <sheet name="mean" sheetId="1" r:id="rId1"/>
    <sheet name="set size and slope" sheetId="2" r:id="rId2"/>
  </sheets>
  <definedNames>
    <definedName name="_xlchart.v1.0" hidden="1">'set size and slope'!$A$11</definedName>
    <definedName name="_xlchart.v1.1" hidden="1">'set size and slope'!$B$10:$C$10</definedName>
    <definedName name="_xlchart.v1.2" hidden="1">'set size and slope'!$B$11:$C$11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6" i="2"/>
  <c r="C5" i="2"/>
  <c r="C4" i="2"/>
  <c r="C3" i="2"/>
  <c r="C2" i="2"/>
  <c r="B6" i="2"/>
  <c r="B5" i="2"/>
  <c r="B4" i="2"/>
  <c r="B3" i="2"/>
  <c r="B2" i="2"/>
  <c r="B7" i="1"/>
</calcChain>
</file>

<file path=xl/sharedStrings.xml><?xml version="1.0" encoding="utf-8"?>
<sst xmlns="http://schemas.openxmlformats.org/spreadsheetml/2006/main" count="10" uniqueCount="10">
  <si>
    <t>p1 mean rt</t>
  </si>
  <si>
    <t>p2 mean rt</t>
  </si>
  <si>
    <t>p3 mean rt</t>
  </si>
  <si>
    <t>p4 mean rt</t>
  </si>
  <si>
    <t>p5 mean rt</t>
  </si>
  <si>
    <t>grand mean</t>
  </si>
  <si>
    <t>Participant</t>
  </si>
  <si>
    <t xml:space="preserve"> Mean RTs</t>
  </si>
  <si>
    <t>Slope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</si>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</sst>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Mean RTs of Set Sizes 5 and</a:t>
            </a:r>
            <a:r>
              <a:rPr lang="en-US" baseline="0"/>
              <a:t> 10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'set size and slope'!$A$11</c:f>
              <c:strCache>
                <c:ptCount val="1"/>
                <c:pt idx="0">
                  <c:v> Mean 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'set size and slope'!$B$10:$C$10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'set size and slope'!$B$11:$C$11</c:f>
              <c:numCache>
                <c:formatCode>General</c:formatCode>
                <c:ptCount val="2"/>
                <c:pt idx="0">
                  <c:v>1656.1336803667996</c:v>
                </c:pt>
                <c:pt idx="1">
                  <c:v>1902.7586763638581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4-BE41-B814-32C8106D2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1535"/>
        <c:axId val="631091824"/>
      </c:lineChart>
      <c:catAx>
        <c:axId val="873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91824"/>
        <c:crosses val="autoZero"/>
        <c:auto val="1"/>
        <c:lblAlgn val="ctr"/>
        <c:lblOffset val="100"/>
        <c:noMultiLvlLbl val="0"/>
      </c:catAx>
      <c:valAx>
        <c:axId val="6310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Reaction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50412</xdr:colOff>
      <xdr:row>12</xdr:row>
      <xdr:rowOff>184393</xdr:rowOff>
    </xdr:from>
    <xdr:to>
      <xdr:col>10</xdr:col>
      <xdr:colOff>502183</xdr:colOff>
      <xdr:row>26</xdr:row>
      <xdr:rowOff>77364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E6663-DA67-ADE5-A3A3-AB1F01D28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9DB-83AF-D742-A019-A44B3EE0E9EF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>
        <v>1472.309026642592</v>
      </c>
    </row>
    <row r="2" spans="1:2" x14ac:dyDescent="0.2">
      <c r="A2" t="s">
        <v>1</v>
      </c>
      <c r="B2">
        <v>1580.7148120704005</v>
      </c>
    </row>
    <row r="3" spans="1:2" x14ac:dyDescent="0.2">
      <c r="A3" t="s">
        <v>2</v>
      </c>
      <c r="B3">
        <v>1887.675164561675</v>
      </c>
    </row>
    <row r="4" spans="1:2" x14ac:dyDescent="0.2">
      <c r="A4" t="s">
        <v>3</v>
      </c>
      <c r="B4">
        <v>1955.4802483010872</v>
      </c>
    </row>
    <row r="5" spans="1:2" x14ac:dyDescent="0.2">
      <c r="A5" t="s">
        <v>4</v>
      </c>
      <c r="B5">
        <v>1739.6092257070288</v>
      </c>
    </row>
    <row r="7" spans="1:2" x14ac:dyDescent="0.2">
      <c r="A7" t="s">
        <v>5</v>
      </c>
      <c r="B7">
        <f>AVERAGE(B1:B5)</f>
        <v>1727.1576954565567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AA55-4BE4-3740-933D-D04A3D51DEFA}">
  <dimension ref="A1:C18"/>
  <sheetViews>
    <sheetView tabSelected="1" zoomScale="131" zoomScaleNormal="117" workbookViewId="0">
      <selection activeCell="L10" sqref="L10"/>
    </sheetView>
  </sheetViews>
  <sheetFormatPr baseColWidth="10" defaultRowHeight="16" x14ac:dyDescent="0.2"/>
  <cols>
    <col min="1" max="1" width="19.33203125" customWidth="1"/>
    <col min="2" max="2" width="10.83203125" customWidth="1"/>
  </cols>
  <sheetData>
    <row r="1" spans="1:3" x14ac:dyDescent="0.2">
      <c r="A1" t="s">
        <v>6</v>
      </c>
      <c r="B1">
        <v>5</v>
      </c>
      <c r="C1">
        <v>10</v>
      </c>
    </row>
    <row r="2" spans="1:3" x14ac:dyDescent="0.2">
      <c r="A2">
        <v>1</v>
      </c>
      <c r="B2">
        <f>1.92226084425532*1000</f>
        <v>1922.2608442553199</v>
      </c>
      <c r="C2">
        <f>1.57194904167408*1000</f>
        <v>1571.94904167408</v>
      </c>
    </row>
    <row r="3" spans="1:3" x14ac:dyDescent="0.2">
      <c r="A3">
        <v>2</v>
      </c>
      <c r="B3">
        <f>1.47706193809102*1000</f>
        <v>1477.06193809102</v>
      </c>
      <c r="C3">
        <f>1.70387881526942*1000</f>
        <v>1703.8788152694199</v>
      </c>
    </row>
    <row r="4" spans="1:3" x14ac:dyDescent="0.2">
      <c r="A4">
        <v>3</v>
      </c>
      <c r="B4">
        <f>1.70938370593331*1000</f>
        <v>1709.38370593331</v>
      </c>
      <c r="C4">
        <f>2.02616942260335*1000</f>
        <v>2026.1694226033501</v>
      </c>
    </row>
    <row r="5" spans="1:3" x14ac:dyDescent="0.2">
      <c r="A5">
        <v>4</v>
      </c>
      <c r="B5">
        <f>1.61119906459602*1000</f>
        <v>1611.19906459602</v>
      </c>
      <c r="C5">
        <f>2.28953525823273*1000</f>
        <v>2289.53525823273</v>
      </c>
    </row>
    <row r="6" spans="1:3" x14ac:dyDescent="0.2">
      <c r="A6">
        <v>5</v>
      </c>
      <c r="B6">
        <f>1.56076284895833*1000</f>
        <v>1560.7628489583301</v>
      </c>
      <c r="C6">
        <f>1.92226084403971*1000</f>
        <v>1922.26084403971</v>
      </c>
    </row>
    <row r="10" spans="1:3" x14ac:dyDescent="0.2">
      <c r="B10">
        <v>5</v>
      </c>
      <c r="C10">
        <v>10</v>
      </c>
    </row>
    <row r="11" spans="1:3" x14ac:dyDescent="0.2">
      <c r="A11" t="s">
        <v>7</v>
      </c>
      <c r="B11">
        <v>1656.1336803667996</v>
      </c>
      <c r="C11">
        <v>1902.7586763638581</v>
      </c>
    </row>
    <row r="13" spans="1:3" x14ac:dyDescent="0.2">
      <c r="A13" t="s">
        <v>8</v>
      </c>
      <c r="B13">
        <f>(C11-B11)/(10-5)</f>
        <v>49.324999199411693</v>
      </c>
      <c r="C13" t="s">
        <v>9</v>
      </c>
    </row>
    <row r="18" spans="2:3" x14ac:dyDescent="0.2">
      <c r="B18" s="1"/>
      <c r="C18" s="1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set size and slope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2025-09-30T18:33:51Z</dcterms:created>
  <dcterms:modified xsi:type="dcterms:W3CDTF">2025-10-01T07:01:50Z</dcterms:modified>
</cp:coreProperties>
</file>