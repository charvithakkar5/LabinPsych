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harvithakkar/Desktop/PSY310/"/>
    </mc:Choice>
  </mc:AlternateContent>
  <xr:revisionPtr revIDLastSave="0" documentId="13_ncr:1_{B145E132-7B5F-FB44-A4C5-8D89C4B44CB6}" xr6:coauthVersionLast="47" xr6:coauthVersionMax="47" xr10:uidLastSave="{00000000-0000-0000-0000-000000000000}"/>
  <bookViews>
    <workbookView xWindow="4300" yWindow="860" windowWidth="29900" windowHeight="21380" activeTab="1" xr2:uid="{00000000-000D-0000-FFFF-FFFF00000000}"/>
  </bookViews>
  <sheets>
    <sheet name="Sheet 1" sheetId="1" r:id="rId1"/>
    <sheet name="Sheet1" sheetId="2" r:id="rId2"/>
  </sheets>
  <definedNames>
    <definedName name="_xlnm._FilterDatabase" localSheetId="1" hidden="1">Sheet1!$C$1:$C$46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2" l="1"/>
  <c r="B57" i="2"/>
  <c r="B54" i="2" l="1"/>
  <c r="B55" i="2"/>
  <c r="B50" i="2"/>
  <c r="B51" i="2" s="1"/>
  <c r="B52" i="2" s="1"/>
  <c r="B49" i="2"/>
</calcChain>
</file>

<file path=xl/sharedStrings.xml><?xml version="1.0" encoding="utf-8"?>
<sst xmlns="http://schemas.openxmlformats.org/spreadsheetml/2006/main" count="1152" uniqueCount="62">
  <si>
    <t>word</t>
  </si>
  <si>
    <t>colour</t>
  </si>
  <si>
    <t>stim_condition</t>
  </si>
  <si>
    <t>correct_res</t>
  </si>
  <si>
    <t>thisN</t>
  </si>
  <si>
    <t>thisTrialN</t>
  </si>
  <si>
    <t>thisRepN</t>
  </si>
  <si>
    <t>key_resp.keys</t>
  </si>
  <si>
    <t>key_resp.corr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</si>
  <si>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</si>
  <si>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</si>
  <si>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</si>
  <si>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</si>
  <si>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</si>
  <si>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</si>
  <si>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</si>
  <si>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</si>
  <si>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ins.started</t>
  </si>
  <si>
    <t>text_2.started</t>
  </si>
  <si>
    <t>text_2.stopped</t>
  </si>
  <si>
    <t>ins.stopped</t>
  </si>
  <si>
    <t>trial.started</t>
  </si>
  <si>
    <t>fixation.started</t>
  </si>
  <si>
    <t>fixation.stopped</t>
  </si>
  <si>
    <t>text.started</t>
  </si>
  <si>
    <t>key_resp.started</t>
  </si>
  <si>
    <t>trial.stopped</t>
  </si>
  <si>
    <t>trials.key_resp.keys</t>
  </si>
  <si>
    <t>trials.key_resp.corr</t>
  </si>
  <si>
    <t>trials.key_resp.rt</t>
  </si>
  <si>
    <t>trials.key_resp.duration</t>
  </si>
  <si>
    <t>thanks.started</t>
  </si>
  <si>
    <t>text_3.started</t>
  </si>
  <si>
    <t>thanks.stopped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</si>
  <si>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</si>
  <si>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</si>
  <si>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</si>
  <si>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</si>
  <si>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</si>
  <si>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</si>
  <si>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</si>
  <si>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</si>
  <si>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2025-08-26_11h45.31.910</t>
  </si>
  <si>
    <t>stroop task practice 2</t>
  </si>
  <si>
    <t>2025.1.1</t>
  </si>
  <si>
    <t>None</t>
  </si>
  <si>
    <t>2025-08-26 11h45.37.614714 +0530</t>
  </si>
  <si>
    <t>RED</t>
  </si>
  <si>
    <t>blue</t>
  </si>
  <si>
    <t>I</t>
  </si>
  <si>
    <t>b</t>
  </si>
  <si>
    <t>red</t>
  </si>
  <si>
    <t>C</t>
  </si>
  <si>
    <t>r</t>
  </si>
  <si>
    <t>BLUE</t>
  </si>
  <si>
    <t>mean rt c</t>
  </si>
  <si>
    <t>mean rt i</t>
  </si>
  <si>
    <t>strrop effect</t>
  </si>
  <si>
    <t>sd i</t>
  </si>
  <si>
    <t>sd c</t>
  </si>
  <si>
    <t>se c</t>
  </si>
  <si>
    <t>se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</si>
</sst>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indexed="8"/>
      <name val="Helvetica Neue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7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vertical="top"/>
    </xf>
    <xf numFmtId="49" fontId="1" fillId="3" borderId="5" xfId="0" applyNumberFormat="1" applyFont="1" applyFill="1" applyBorder="1" applyAlignment="1">
      <alignment vertical="top"/>
    </xf>
    <xf numFmtId="49" fontId="0" fillId="0" borderId="6" xfId="0" applyNumberFormat="1" applyBorder="1" applyAlignment="1">
      <alignment vertical="top"/>
    </xf>
    <xf numFmtId="49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vertical="top"/>
    </xf>
    <xf numFmtId="0" fontId="0" fillId="0" borderId="7" xfId="0" applyBorder="1" applyAlignment="1">
      <alignment vertical="top"/>
    </xf>
    <xf numFmtId="0" fontId="1" fillId="3" borderId="5" xfId="0" applyFont="1" applyFill="1" applyBorder="1" applyAlignment="1">
      <alignment vertical="top"/>
    </xf>
    <xf numFmtId="0" fontId="0" fillId="0" borderId="6" xfId="0" applyBorder="1" applyAlignment="1">
      <alignment vertical="top"/>
    </xf>
    <xf numFmtId="0" fontId="2" fillId="0" borderId="0" xfId="0" applyFont="1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43"/>
  <sheetViews>
    <sheetView showGridLines="0" workbookViewId="0">
      <selection activeCell="B1" sqref="B1"/>
    </sheetView>
  </sheetViews>
  <sheetFormatPr baseColWidth="10" defaultColWidth="8.33203125" defaultRowHeight="20" customHeight="1" x14ac:dyDescent="0.15"/>
  <cols>
    <col min="1" max="1" width="6" style="1" customWidth="1"/>
    <col min="2" max="2" width="6.5" style="1" customWidth="1"/>
    <col min="3" max="3" width="13.1640625" style="1" customWidth="1"/>
    <col min="4" max="4" width="10.5" style="1" customWidth="1"/>
    <col min="5" max="5" width="5.6640625" style="1" customWidth="1"/>
    <col min="6" max="6" width="9" style="1" customWidth="1"/>
    <col min="7" max="7" width="8.83203125" style="1" customWidth="1"/>
    <col min="8" max="8" width="12.6640625" style="1" customWidth="1"/>
    <col min="9" max="9" width="12.33203125" style="1" customWidth="1"/>
    <col min="10" max="10" width="17.6640625" style="1" customWidth="1"/>
    <col min="11" max="11" width="15.6640625" style="1" customWidth="1"/>
    <col min="12" max="12" width="13.1640625" style="1" customWidth="1"/>
    <col min="13" max="13" width="13.33203125" style="1" customWidth="1"/>
    <col min="14" max="14" width="10" style="1" customWidth="1"/>
    <col min="15" max="15" width="13.1640625" style="1" customWidth="1"/>
    <col min="16" max="16" width="17.6640625" style="1" customWidth="1"/>
    <col min="17" max="17" width="6" style="1" customWidth="1"/>
    <col min="18" max="19" width="19.5" style="1" customWidth="1"/>
    <col min="20" max="27" width="17.6640625" style="1" customWidth="1"/>
    <col min="28" max="28" width="17.1640625" style="1" customWidth="1"/>
    <col min="29" max="29" width="16.6640625" style="1" customWidth="1"/>
    <col min="30" max="30" width="17.6640625" style="1" customWidth="1"/>
    <col min="31" max="31" width="20" style="1" customWidth="1"/>
    <col min="32" max="32" width="17.6640625" style="1" customWidth="1"/>
    <col min="33" max="34" width="16.83203125" style="1" customWidth="1"/>
    <col min="35" max="35" width="10" style="1" customWidth="1"/>
    <col min="36" max="36" width="7.5" style="1" customWidth="1"/>
    <col min="37" max="37" width="21.1640625" style="1" customWidth="1"/>
    <col min="38" max="38" width="17.6640625" style="1" customWidth="1"/>
    <col min="39" max="39" width="10.1640625" style="1" customWidth="1"/>
    <col min="40" max="40" width="15" style="1" customWidth="1"/>
    <col min="41" max="41" width="9.83203125" style="1" customWidth="1"/>
    <col min="42" max="42" width="28.83203125" style="1" customWidth="1"/>
    <col min="43" max="44" width="8.33203125" style="1" customWidth="1"/>
    <col min="45" max="16384" width="8.33203125" style="1"/>
  </cols>
  <sheetData>
    <row r="1" spans="1:43" ht="20.2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3"/>
    </row>
    <row r="2" spans="1:43" ht="20.25" customHeight="1" x14ac:dyDescent="0.15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7">
        <v>4.2943339994963E-3</v>
      </c>
      <c r="S2" s="7">
        <v>7.7606670001841901E-3</v>
      </c>
      <c r="T2" s="7">
        <v>1.0173932500001699</v>
      </c>
      <c r="U2" s="7">
        <v>0.99438766700041004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7">
        <v>57</v>
      </c>
      <c r="AJ2" s="7">
        <v>1</v>
      </c>
      <c r="AK2" s="8" t="s">
        <v>42</v>
      </c>
      <c r="AL2" s="8" t="s">
        <v>43</v>
      </c>
      <c r="AM2" s="6"/>
      <c r="AN2" s="8" t="s">
        <v>44</v>
      </c>
      <c r="AO2" s="8" t="s">
        <v>45</v>
      </c>
      <c r="AP2" s="8" t="s">
        <v>46</v>
      </c>
      <c r="AQ2" s="6"/>
    </row>
    <row r="3" spans="1:43" ht="20" customHeight="1" x14ac:dyDescent="0.15">
      <c r="A3" s="9" t="s">
        <v>47</v>
      </c>
      <c r="B3" s="10" t="s">
        <v>48</v>
      </c>
      <c r="C3" s="11" t="s">
        <v>49</v>
      </c>
      <c r="D3" s="11" t="s">
        <v>50</v>
      </c>
      <c r="E3" s="12">
        <v>0</v>
      </c>
      <c r="F3" s="12">
        <v>0</v>
      </c>
      <c r="G3" s="12">
        <v>0</v>
      </c>
      <c r="H3" s="11" t="s">
        <v>50</v>
      </c>
      <c r="I3" s="12">
        <v>1</v>
      </c>
      <c r="J3" s="12">
        <v>1.61280579199956</v>
      </c>
      <c r="K3" s="11" t="s">
        <v>45</v>
      </c>
      <c r="L3" s="12">
        <v>0</v>
      </c>
      <c r="M3" s="12">
        <v>0</v>
      </c>
      <c r="N3" s="12">
        <v>0</v>
      </c>
      <c r="O3" s="12">
        <v>1</v>
      </c>
      <c r="P3" s="12">
        <v>1.0173932500001699</v>
      </c>
      <c r="Q3" s="13"/>
      <c r="R3" s="13"/>
      <c r="S3" s="13"/>
      <c r="T3" s="13"/>
      <c r="U3" s="13"/>
      <c r="V3" s="12">
        <v>1.01126254200062</v>
      </c>
      <c r="W3" s="12">
        <v>1.0173932500001699</v>
      </c>
      <c r="X3" s="12">
        <v>1.50381395899967</v>
      </c>
      <c r="Y3" s="12">
        <v>1.50381395899967</v>
      </c>
      <c r="Z3" s="12">
        <v>1.50381395899967</v>
      </c>
      <c r="AA3" s="12">
        <v>3.3068540000003899</v>
      </c>
      <c r="AB3" s="11" t="s">
        <v>50</v>
      </c>
      <c r="AC3" s="12">
        <v>1</v>
      </c>
      <c r="AD3" s="12">
        <v>1.61280579199956</v>
      </c>
      <c r="AE3" s="11" t="s">
        <v>45</v>
      </c>
      <c r="AF3" s="13"/>
      <c r="AG3" s="13"/>
      <c r="AH3" s="13"/>
      <c r="AI3" s="12">
        <v>57</v>
      </c>
      <c r="AJ3" s="12">
        <v>1</v>
      </c>
      <c r="AK3" s="11" t="s">
        <v>42</v>
      </c>
      <c r="AL3" s="11" t="s">
        <v>43</v>
      </c>
      <c r="AM3" s="13"/>
      <c r="AN3" s="11" t="s">
        <v>44</v>
      </c>
      <c r="AO3" s="11" t="s">
        <v>45</v>
      </c>
      <c r="AP3" s="11" t="s">
        <v>46</v>
      </c>
      <c r="AQ3" s="13"/>
    </row>
    <row r="4" spans="1:43" ht="20" customHeight="1" x14ac:dyDescent="0.15">
      <c r="A4" s="9" t="s">
        <v>47</v>
      </c>
      <c r="B4" s="10" t="s">
        <v>51</v>
      </c>
      <c r="C4" s="11" t="s">
        <v>52</v>
      </c>
      <c r="D4" s="11" t="s">
        <v>53</v>
      </c>
      <c r="E4" s="12">
        <v>1</v>
      </c>
      <c r="F4" s="12">
        <v>1</v>
      </c>
      <c r="G4" s="12">
        <v>0</v>
      </c>
      <c r="H4" s="11" t="s">
        <v>53</v>
      </c>
      <c r="I4" s="12">
        <v>1</v>
      </c>
      <c r="J4" s="12">
        <v>0.83104379200085499</v>
      </c>
      <c r="K4" s="11" t="s">
        <v>45</v>
      </c>
      <c r="L4" s="12">
        <v>0</v>
      </c>
      <c r="M4" s="12">
        <v>1</v>
      </c>
      <c r="N4" s="12">
        <v>1</v>
      </c>
      <c r="O4" s="12">
        <v>0</v>
      </c>
      <c r="P4" s="12">
        <v>3.3145378749995902</v>
      </c>
      <c r="Q4" s="13"/>
      <c r="R4" s="13"/>
      <c r="S4" s="13"/>
      <c r="T4" s="13"/>
      <c r="U4" s="13"/>
      <c r="V4" s="12">
        <v>3.3071266250008202</v>
      </c>
      <c r="W4" s="12">
        <v>3.3145378749995902</v>
      </c>
      <c r="X4" s="12">
        <v>3.8002948339999398</v>
      </c>
      <c r="Y4" s="12">
        <v>3.8002948339999398</v>
      </c>
      <c r="Z4" s="12">
        <v>3.8002948339999398</v>
      </c>
      <c r="AA4" s="12">
        <v>4.6326162500008703</v>
      </c>
      <c r="AB4" s="11" t="s">
        <v>53</v>
      </c>
      <c r="AC4" s="12">
        <v>1</v>
      </c>
      <c r="AD4" s="12">
        <v>0.83104379200085499</v>
      </c>
      <c r="AE4" s="11" t="s">
        <v>45</v>
      </c>
      <c r="AF4" s="13"/>
      <c r="AG4" s="13"/>
      <c r="AH4" s="13"/>
      <c r="AI4" s="12">
        <v>57</v>
      </c>
      <c r="AJ4" s="12">
        <v>1</v>
      </c>
      <c r="AK4" s="11" t="s">
        <v>42</v>
      </c>
      <c r="AL4" s="11" t="s">
        <v>43</v>
      </c>
      <c r="AM4" s="13"/>
      <c r="AN4" s="11" t="s">
        <v>44</v>
      </c>
      <c r="AO4" s="11" t="s">
        <v>45</v>
      </c>
      <c r="AP4" s="11" t="s">
        <v>46</v>
      </c>
      <c r="AQ4" s="13"/>
    </row>
    <row r="5" spans="1:43" ht="20" customHeight="1" x14ac:dyDescent="0.15">
      <c r="A5" s="9" t="s">
        <v>54</v>
      </c>
      <c r="B5" s="10" t="s">
        <v>51</v>
      </c>
      <c r="C5" s="11" t="s">
        <v>49</v>
      </c>
      <c r="D5" s="11" t="s">
        <v>53</v>
      </c>
      <c r="E5" s="12">
        <v>2</v>
      </c>
      <c r="F5" s="12">
        <v>2</v>
      </c>
      <c r="G5" s="12">
        <v>0</v>
      </c>
      <c r="H5" s="11" t="s">
        <v>53</v>
      </c>
      <c r="I5" s="12">
        <v>1</v>
      </c>
      <c r="J5" s="12">
        <v>0.99018562499986695</v>
      </c>
      <c r="K5" s="11" t="s">
        <v>45</v>
      </c>
      <c r="L5" s="12">
        <v>0</v>
      </c>
      <c r="M5" s="12">
        <v>2</v>
      </c>
      <c r="N5" s="12">
        <v>2</v>
      </c>
      <c r="O5" s="12">
        <v>2</v>
      </c>
      <c r="P5" s="12">
        <v>4.6503064170010502</v>
      </c>
      <c r="Q5" s="13"/>
      <c r="R5" s="13"/>
      <c r="S5" s="13"/>
      <c r="T5" s="13"/>
      <c r="U5" s="13"/>
      <c r="V5" s="12">
        <v>4.6432205420005603</v>
      </c>
      <c r="W5" s="12">
        <v>4.6503064170010502</v>
      </c>
      <c r="X5" s="12">
        <v>5.1350902499998501</v>
      </c>
      <c r="Y5" s="12">
        <v>5.1350902499998501</v>
      </c>
      <c r="Z5" s="12">
        <v>5.1350902499998501</v>
      </c>
      <c r="AA5" s="12">
        <v>6.1301934170005596</v>
      </c>
      <c r="AB5" s="11" t="s">
        <v>53</v>
      </c>
      <c r="AC5" s="12">
        <v>1</v>
      </c>
      <c r="AD5" s="12">
        <v>0.99018562499986695</v>
      </c>
      <c r="AE5" s="11" t="s">
        <v>45</v>
      </c>
      <c r="AF5" s="13"/>
      <c r="AG5" s="13"/>
      <c r="AH5" s="13"/>
      <c r="AI5" s="12">
        <v>57</v>
      </c>
      <c r="AJ5" s="12">
        <v>1</v>
      </c>
      <c r="AK5" s="11" t="s">
        <v>42</v>
      </c>
      <c r="AL5" s="11" t="s">
        <v>43</v>
      </c>
      <c r="AM5" s="13"/>
      <c r="AN5" s="11" t="s">
        <v>44</v>
      </c>
      <c r="AO5" s="11" t="s">
        <v>45</v>
      </c>
      <c r="AP5" s="11" t="s">
        <v>46</v>
      </c>
      <c r="AQ5" s="13"/>
    </row>
    <row r="6" spans="1:43" ht="20" customHeight="1" x14ac:dyDescent="0.15">
      <c r="A6" s="9" t="s">
        <v>54</v>
      </c>
      <c r="B6" s="10" t="s">
        <v>48</v>
      </c>
      <c r="C6" s="11" t="s">
        <v>52</v>
      </c>
      <c r="D6" s="11" t="s">
        <v>50</v>
      </c>
      <c r="E6" s="12">
        <v>3</v>
      </c>
      <c r="F6" s="12">
        <v>3</v>
      </c>
      <c r="G6" s="12">
        <v>0</v>
      </c>
      <c r="H6" s="11" t="s">
        <v>50</v>
      </c>
      <c r="I6" s="12">
        <v>1</v>
      </c>
      <c r="J6" s="12">
        <v>0.86383766700055298</v>
      </c>
      <c r="K6" s="11" t="s">
        <v>45</v>
      </c>
      <c r="L6" s="12">
        <v>0</v>
      </c>
      <c r="M6" s="12">
        <v>3</v>
      </c>
      <c r="N6" s="12">
        <v>3</v>
      </c>
      <c r="O6" s="12">
        <v>3</v>
      </c>
      <c r="P6" s="12">
        <v>6.1491175419996598</v>
      </c>
      <c r="Q6" s="13"/>
      <c r="R6" s="13"/>
      <c r="S6" s="13"/>
      <c r="T6" s="13"/>
      <c r="U6" s="13"/>
      <c r="V6" s="12">
        <v>6.1314915420007301</v>
      </c>
      <c r="W6" s="12">
        <v>6.1491175419996598</v>
      </c>
      <c r="X6" s="12">
        <v>6.6274854170005701</v>
      </c>
      <c r="Y6" s="12">
        <v>6.6274854170005701</v>
      </c>
      <c r="Z6" s="12">
        <v>6.6274854170005701</v>
      </c>
      <c r="AA6" s="12">
        <v>7.4956887090011204</v>
      </c>
      <c r="AB6" s="11" t="s">
        <v>50</v>
      </c>
      <c r="AC6" s="12">
        <v>1</v>
      </c>
      <c r="AD6" s="12">
        <v>0.86383766700055298</v>
      </c>
      <c r="AE6" s="11" t="s">
        <v>45</v>
      </c>
      <c r="AF6" s="13"/>
      <c r="AG6" s="13"/>
      <c r="AH6" s="13"/>
      <c r="AI6" s="12">
        <v>57</v>
      </c>
      <c r="AJ6" s="12">
        <v>1</v>
      </c>
      <c r="AK6" s="11" t="s">
        <v>42</v>
      </c>
      <c r="AL6" s="11" t="s">
        <v>43</v>
      </c>
      <c r="AM6" s="13"/>
      <c r="AN6" s="11" t="s">
        <v>44</v>
      </c>
      <c r="AO6" s="11" t="s">
        <v>45</v>
      </c>
      <c r="AP6" s="11" t="s">
        <v>46</v>
      </c>
      <c r="AQ6" s="13"/>
    </row>
    <row r="7" spans="1:43" ht="20" customHeight="1" x14ac:dyDescent="0.15">
      <c r="A7" s="9" t="s">
        <v>54</v>
      </c>
      <c r="B7" s="10" t="s">
        <v>48</v>
      </c>
      <c r="C7" s="11" t="s">
        <v>52</v>
      </c>
      <c r="D7" s="11" t="s">
        <v>50</v>
      </c>
      <c r="E7" s="12">
        <v>4</v>
      </c>
      <c r="F7" s="12">
        <v>0</v>
      </c>
      <c r="G7" s="12">
        <v>1</v>
      </c>
      <c r="H7" s="11" t="s">
        <v>50</v>
      </c>
      <c r="I7" s="12">
        <v>1</v>
      </c>
      <c r="J7" s="12">
        <v>0.963358540999252</v>
      </c>
      <c r="K7" s="11" t="s">
        <v>45</v>
      </c>
      <c r="L7" s="12">
        <v>1</v>
      </c>
      <c r="M7" s="12">
        <v>0</v>
      </c>
      <c r="N7" s="12">
        <v>4</v>
      </c>
      <c r="O7" s="12">
        <v>3</v>
      </c>
      <c r="P7" s="12">
        <v>7.5052465839999103</v>
      </c>
      <c r="Q7" s="13"/>
      <c r="R7" s="13"/>
      <c r="S7" s="13"/>
      <c r="T7" s="13"/>
      <c r="U7" s="13"/>
      <c r="V7" s="12">
        <v>7.4967754589997604</v>
      </c>
      <c r="W7" s="12">
        <v>7.5052465839999103</v>
      </c>
      <c r="X7" s="12">
        <v>7.9939095000008802</v>
      </c>
      <c r="Y7" s="12">
        <v>7.9939095000008802</v>
      </c>
      <c r="Z7" s="12">
        <v>7.9939095000008802</v>
      </c>
      <c r="AA7" s="12">
        <v>8.9624998750004998</v>
      </c>
      <c r="AB7" s="11" t="s">
        <v>50</v>
      </c>
      <c r="AC7" s="12">
        <v>1</v>
      </c>
      <c r="AD7" s="12">
        <v>0.963358540999252</v>
      </c>
      <c r="AE7" s="11" t="s">
        <v>45</v>
      </c>
      <c r="AF7" s="13"/>
      <c r="AG7" s="13"/>
      <c r="AH7" s="13"/>
      <c r="AI7" s="12">
        <v>57</v>
      </c>
      <c r="AJ7" s="12">
        <v>1</v>
      </c>
      <c r="AK7" s="11" t="s">
        <v>42</v>
      </c>
      <c r="AL7" s="11" t="s">
        <v>43</v>
      </c>
      <c r="AM7" s="13"/>
      <c r="AN7" s="11" t="s">
        <v>44</v>
      </c>
      <c r="AO7" s="11" t="s">
        <v>45</v>
      </c>
      <c r="AP7" s="11" t="s">
        <v>46</v>
      </c>
      <c r="AQ7" s="13"/>
    </row>
    <row r="8" spans="1:43" ht="20" customHeight="1" x14ac:dyDescent="0.15">
      <c r="A8" s="9" t="s">
        <v>47</v>
      </c>
      <c r="B8" s="10" t="s">
        <v>48</v>
      </c>
      <c r="C8" s="11" t="s">
        <v>49</v>
      </c>
      <c r="D8" s="11" t="s">
        <v>50</v>
      </c>
      <c r="E8" s="12">
        <v>5</v>
      </c>
      <c r="F8" s="12">
        <v>1</v>
      </c>
      <c r="G8" s="12">
        <v>1</v>
      </c>
      <c r="H8" s="11" t="s">
        <v>50</v>
      </c>
      <c r="I8" s="12">
        <v>1</v>
      </c>
      <c r="J8" s="12">
        <v>1.6183213340009399</v>
      </c>
      <c r="K8" s="11" t="s">
        <v>45</v>
      </c>
      <c r="L8" s="12">
        <v>1</v>
      </c>
      <c r="M8" s="12">
        <v>1</v>
      </c>
      <c r="N8" s="12">
        <v>5</v>
      </c>
      <c r="O8" s="12">
        <v>1</v>
      </c>
      <c r="P8" s="12">
        <v>8.9754262919996108</v>
      </c>
      <c r="Q8" s="13"/>
      <c r="R8" s="13"/>
      <c r="S8" s="13"/>
      <c r="T8" s="13"/>
      <c r="U8" s="13"/>
      <c r="V8" s="12">
        <v>8.9669961250001506</v>
      </c>
      <c r="W8" s="12">
        <v>8.9754262919996108</v>
      </c>
      <c r="X8" s="12">
        <v>9.46074570900055</v>
      </c>
      <c r="Y8" s="12">
        <v>9.46074570900055</v>
      </c>
      <c r="Z8" s="12">
        <v>9.46074570900055</v>
      </c>
      <c r="AA8" s="12">
        <v>11.082306959000601</v>
      </c>
      <c r="AB8" s="11" t="s">
        <v>50</v>
      </c>
      <c r="AC8" s="12">
        <v>1</v>
      </c>
      <c r="AD8" s="12">
        <v>1.6183213340009399</v>
      </c>
      <c r="AE8" s="11" t="s">
        <v>45</v>
      </c>
      <c r="AF8" s="13"/>
      <c r="AG8" s="13"/>
      <c r="AH8" s="13"/>
      <c r="AI8" s="12">
        <v>57</v>
      </c>
      <c r="AJ8" s="12">
        <v>1</v>
      </c>
      <c r="AK8" s="11" t="s">
        <v>42</v>
      </c>
      <c r="AL8" s="11" t="s">
        <v>43</v>
      </c>
      <c r="AM8" s="13"/>
      <c r="AN8" s="11" t="s">
        <v>44</v>
      </c>
      <c r="AO8" s="11" t="s">
        <v>45</v>
      </c>
      <c r="AP8" s="11" t="s">
        <v>46</v>
      </c>
      <c r="AQ8" s="13"/>
    </row>
    <row r="9" spans="1:43" ht="20" customHeight="1" x14ac:dyDescent="0.15">
      <c r="A9" s="9" t="s">
        <v>54</v>
      </c>
      <c r="B9" s="10" t="s">
        <v>51</v>
      </c>
      <c r="C9" s="11" t="s">
        <v>49</v>
      </c>
      <c r="D9" s="11" t="s">
        <v>53</v>
      </c>
      <c r="E9" s="12">
        <v>6</v>
      </c>
      <c r="F9" s="12">
        <v>2</v>
      </c>
      <c r="G9" s="12">
        <v>1</v>
      </c>
      <c r="H9" s="11" t="s">
        <v>53</v>
      </c>
      <c r="I9" s="12">
        <v>1</v>
      </c>
      <c r="J9" s="12">
        <v>1.8658027920009801</v>
      </c>
      <c r="K9" s="11" t="s">
        <v>45</v>
      </c>
      <c r="L9" s="12">
        <v>1</v>
      </c>
      <c r="M9" s="12">
        <v>2</v>
      </c>
      <c r="N9" s="12">
        <v>6</v>
      </c>
      <c r="O9" s="12">
        <v>2</v>
      </c>
      <c r="P9" s="12">
        <v>11.0947275420003</v>
      </c>
      <c r="Q9" s="13"/>
      <c r="R9" s="13"/>
      <c r="S9" s="13"/>
      <c r="T9" s="13"/>
      <c r="U9" s="13"/>
      <c r="V9" s="12">
        <v>11.0867429170012</v>
      </c>
      <c r="W9" s="12">
        <v>11.0947275420003</v>
      </c>
      <c r="X9" s="12">
        <v>11.5773194169997</v>
      </c>
      <c r="Y9" s="12">
        <v>11.5773194169997</v>
      </c>
      <c r="Z9" s="12">
        <v>11.5773194169997</v>
      </c>
      <c r="AA9" s="12">
        <v>13.4457995000012</v>
      </c>
      <c r="AB9" s="11" t="s">
        <v>53</v>
      </c>
      <c r="AC9" s="12">
        <v>1</v>
      </c>
      <c r="AD9" s="12">
        <v>1.8658027920009801</v>
      </c>
      <c r="AE9" s="11" t="s">
        <v>45</v>
      </c>
      <c r="AF9" s="13"/>
      <c r="AG9" s="13"/>
      <c r="AH9" s="13"/>
      <c r="AI9" s="12">
        <v>57</v>
      </c>
      <c r="AJ9" s="12">
        <v>1</v>
      </c>
      <c r="AK9" s="11" t="s">
        <v>42</v>
      </c>
      <c r="AL9" s="11" t="s">
        <v>43</v>
      </c>
      <c r="AM9" s="13"/>
      <c r="AN9" s="11" t="s">
        <v>44</v>
      </c>
      <c r="AO9" s="11" t="s">
        <v>45</v>
      </c>
      <c r="AP9" s="11" t="s">
        <v>46</v>
      </c>
      <c r="AQ9" s="13"/>
    </row>
    <row r="10" spans="1:43" ht="20" customHeight="1" x14ac:dyDescent="0.15">
      <c r="A10" s="9" t="s">
        <v>47</v>
      </c>
      <c r="B10" s="10" t="s">
        <v>51</v>
      </c>
      <c r="C10" s="11" t="s">
        <v>52</v>
      </c>
      <c r="D10" s="11" t="s">
        <v>53</v>
      </c>
      <c r="E10" s="12">
        <v>7</v>
      </c>
      <c r="F10" s="12">
        <v>3</v>
      </c>
      <c r="G10" s="12">
        <v>1</v>
      </c>
      <c r="H10" s="11" t="s">
        <v>53</v>
      </c>
      <c r="I10" s="12">
        <v>1</v>
      </c>
      <c r="J10" s="12">
        <v>0.89615549999871302</v>
      </c>
      <c r="K10" s="11" t="s">
        <v>45</v>
      </c>
      <c r="L10" s="12">
        <v>1</v>
      </c>
      <c r="M10" s="12">
        <v>3</v>
      </c>
      <c r="N10" s="12">
        <v>7</v>
      </c>
      <c r="O10" s="12">
        <v>0</v>
      </c>
      <c r="P10" s="12">
        <v>13.461119542000199</v>
      </c>
      <c r="Q10" s="13"/>
      <c r="R10" s="13"/>
      <c r="S10" s="13"/>
      <c r="T10" s="13"/>
      <c r="U10" s="13"/>
      <c r="V10" s="12">
        <v>13.4502675839994</v>
      </c>
      <c r="W10" s="12">
        <v>13.461119542000199</v>
      </c>
      <c r="X10" s="12">
        <v>13.944020041999501</v>
      </c>
      <c r="Y10" s="12">
        <v>13.944020041999501</v>
      </c>
      <c r="Z10" s="12">
        <v>13.944020041999501</v>
      </c>
      <c r="AA10" s="12">
        <v>14.8464369169997</v>
      </c>
      <c r="AB10" s="11" t="s">
        <v>53</v>
      </c>
      <c r="AC10" s="12">
        <v>1</v>
      </c>
      <c r="AD10" s="12">
        <v>0.89615549999871302</v>
      </c>
      <c r="AE10" s="11" t="s">
        <v>45</v>
      </c>
      <c r="AF10" s="13"/>
      <c r="AG10" s="13"/>
      <c r="AH10" s="13"/>
      <c r="AI10" s="12">
        <v>57</v>
      </c>
      <c r="AJ10" s="12">
        <v>1</v>
      </c>
      <c r="AK10" s="11" t="s">
        <v>42</v>
      </c>
      <c r="AL10" s="11" t="s">
        <v>43</v>
      </c>
      <c r="AM10" s="13"/>
      <c r="AN10" s="11" t="s">
        <v>44</v>
      </c>
      <c r="AO10" s="11" t="s">
        <v>45</v>
      </c>
      <c r="AP10" s="11" t="s">
        <v>46</v>
      </c>
      <c r="AQ10" s="13"/>
    </row>
    <row r="11" spans="1:43" ht="20" customHeight="1" x14ac:dyDescent="0.15">
      <c r="A11" s="9" t="s">
        <v>47</v>
      </c>
      <c r="B11" s="10" t="s">
        <v>51</v>
      </c>
      <c r="C11" s="11" t="s">
        <v>52</v>
      </c>
      <c r="D11" s="11" t="s">
        <v>53</v>
      </c>
      <c r="E11" s="12">
        <v>8</v>
      </c>
      <c r="F11" s="12">
        <v>0</v>
      </c>
      <c r="G11" s="12">
        <v>2</v>
      </c>
      <c r="H11" s="11" t="s">
        <v>53</v>
      </c>
      <c r="I11" s="12">
        <v>1</v>
      </c>
      <c r="J11" s="12">
        <v>0.69612008399963099</v>
      </c>
      <c r="K11" s="11" t="s">
        <v>45</v>
      </c>
      <c r="L11" s="12">
        <v>2</v>
      </c>
      <c r="M11" s="12">
        <v>0</v>
      </c>
      <c r="N11" s="12">
        <v>8</v>
      </c>
      <c r="O11" s="12">
        <v>0</v>
      </c>
      <c r="P11" s="12">
        <v>14.8570572919998</v>
      </c>
      <c r="Q11" s="13"/>
      <c r="R11" s="13"/>
      <c r="S11" s="13"/>
      <c r="T11" s="13"/>
      <c r="U11" s="13"/>
      <c r="V11" s="12">
        <v>14.847377000000099</v>
      </c>
      <c r="W11" s="12">
        <v>14.8570572919998</v>
      </c>
      <c r="X11" s="12">
        <v>15.3439992920012</v>
      </c>
      <c r="Y11" s="12">
        <v>15.3439992920012</v>
      </c>
      <c r="Z11" s="12">
        <v>15.3439992920012</v>
      </c>
      <c r="AA11" s="12">
        <v>16.046307459000701</v>
      </c>
      <c r="AB11" s="11" t="s">
        <v>53</v>
      </c>
      <c r="AC11" s="12">
        <v>1</v>
      </c>
      <c r="AD11" s="12">
        <v>0.69612008399963099</v>
      </c>
      <c r="AE11" s="11" t="s">
        <v>45</v>
      </c>
      <c r="AF11" s="13"/>
      <c r="AG11" s="13"/>
      <c r="AH11" s="13"/>
      <c r="AI11" s="12">
        <v>57</v>
      </c>
      <c r="AJ11" s="12">
        <v>1</v>
      </c>
      <c r="AK11" s="11" t="s">
        <v>42</v>
      </c>
      <c r="AL11" s="11" t="s">
        <v>43</v>
      </c>
      <c r="AM11" s="13"/>
      <c r="AN11" s="11" t="s">
        <v>44</v>
      </c>
      <c r="AO11" s="11" t="s">
        <v>45</v>
      </c>
      <c r="AP11" s="11" t="s">
        <v>46</v>
      </c>
      <c r="AQ11" s="13"/>
    </row>
    <row r="12" spans="1:43" ht="20" customHeight="1" x14ac:dyDescent="0.15">
      <c r="A12" s="9" t="s">
        <v>54</v>
      </c>
      <c r="B12" s="10" t="s">
        <v>48</v>
      </c>
      <c r="C12" s="11" t="s">
        <v>52</v>
      </c>
      <c r="D12" s="11" t="s">
        <v>50</v>
      </c>
      <c r="E12" s="12">
        <v>9</v>
      </c>
      <c r="F12" s="12">
        <v>1</v>
      </c>
      <c r="G12" s="12">
        <v>2</v>
      </c>
      <c r="H12" s="11" t="s">
        <v>50</v>
      </c>
      <c r="I12" s="12">
        <v>1</v>
      </c>
      <c r="J12" s="12">
        <v>0.82090908399913998</v>
      </c>
      <c r="K12" s="11" t="s">
        <v>45</v>
      </c>
      <c r="L12" s="12">
        <v>2</v>
      </c>
      <c r="M12" s="12">
        <v>1</v>
      </c>
      <c r="N12" s="12">
        <v>9</v>
      </c>
      <c r="O12" s="12">
        <v>3</v>
      </c>
      <c r="P12" s="12">
        <v>16.060672875000801</v>
      </c>
      <c r="Q12" s="13"/>
      <c r="R12" s="13"/>
      <c r="S12" s="13"/>
      <c r="T12" s="13"/>
      <c r="U12" s="13"/>
      <c r="V12" s="12">
        <v>16.051821291999701</v>
      </c>
      <c r="W12" s="12">
        <v>16.060672875000801</v>
      </c>
      <c r="X12" s="12">
        <v>16.544096667001199</v>
      </c>
      <c r="Y12" s="12">
        <v>16.544096667001199</v>
      </c>
      <c r="Z12" s="12">
        <v>16.544096667001199</v>
      </c>
      <c r="AA12" s="12">
        <v>17.3670127500009</v>
      </c>
      <c r="AB12" s="11" t="s">
        <v>50</v>
      </c>
      <c r="AC12" s="12">
        <v>1</v>
      </c>
      <c r="AD12" s="12">
        <v>0.82090908399913998</v>
      </c>
      <c r="AE12" s="11" t="s">
        <v>45</v>
      </c>
      <c r="AF12" s="13"/>
      <c r="AG12" s="13"/>
      <c r="AH12" s="13"/>
      <c r="AI12" s="12">
        <v>57</v>
      </c>
      <c r="AJ12" s="12">
        <v>1</v>
      </c>
      <c r="AK12" s="11" t="s">
        <v>42</v>
      </c>
      <c r="AL12" s="11" t="s">
        <v>43</v>
      </c>
      <c r="AM12" s="13"/>
      <c r="AN12" s="11" t="s">
        <v>44</v>
      </c>
      <c r="AO12" s="11" t="s">
        <v>45</v>
      </c>
      <c r="AP12" s="11" t="s">
        <v>46</v>
      </c>
      <c r="AQ12" s="13"/>
    </row>
    <row r="13" spans="1:43" ht="20" customHeight="1" x14ac:dyDescent="0.15">
      <c r="A13" s="9" t="s">
        <v>54</v>
      </c>
      <c r="B13" s="10" t="s">
        <v>51</v>
      </c>
      <c r="C13" s="11" t="s">
        <v>49</v>
      </c>
      <c r="D13" s="11" t="s">
        <v>53</v>
      </c>
      <c r="E13" s="12">
        <v>10</v>
      </c>
      <c r="F13" s="12">
        <v>2</v>
      </c>
      <c r="G13" s="12">
        <v>2</v>
      </c>
      <c r="H13" s="11" t="s">
        <v>53</v>
      </c>
      <c r="I13" s="12">
        <v>1</v>
      </c>
      <c r="J13" s="12">
        <v>0.70307441600016296</v>
      </c>
      <c r="K13" s="11" t="s">
        <v>45</v>
      </c>
      <c r="L13" s="12">
        <v>2</v>
      </c>
      <c r="M13" s="12">
        <v>2</v>
      </c>
      <c r="N13" s="12">
        <v>10</v>
      </c>
      <c r="O13" s="12">
        <v>2</v>
      </c>
      <c r="P13" s="12">
        <v>17.376794584000901</v>
      </c>
      <c r="Q13" s="13"/>
      <c r="R13" s="13"/>
      <c r="S13" s="13"/>
      <c r="T13" s="13"/>
      <c r="U13" s="13"/>
      <c r="V13" s="12">
        <v>17.367923292000299</v>
      </c>
      <c r="W13" s="12">
        <v>17.376794584000901</v>
      </c>
      <c r="X13" s="12">
        <v>17.865931959000601</v>
      </c>
      <c r="Y13" s="12">
        <v>17.865931959000601</v>
      </c>
      <c r="Z13" s="12">
        <v>17.865931959000601</v>
      </c>
      <c r="AA13" s="12">
        <v>18.579784584000699</v>
      </c>
      <c r="AB13" s="11" t="s">
        <v>53</v>
      </c>
      <c r="AC13" s="12">
        <v>1</v>
      </c>
      <c r="AD13" s="12">
        <v>0.70307441600016296</v>
      </c>
      <c r="AE13" s="11" t="s">
        <v>45</v>
      </c>
      <c r="AF13" s="13"/>
      <c r="AG13" s="13"/>
      <c r="AH13" s="13"/>
      <c r="AI13" s="12">
        <v>57</v>
      </c>
      <c r="AJ13" s="12">
        <v>1</v>
      </c>
      <c r="AK13" s="11" t="s">
        <v>42</v>
      </c>
      <c r="AL13" s="11" t="s">
        <v>43</v>
      </c>
      <c r="AM13" s="13"/>
      <c r="AN13" s="11" t="s">
        <v>44</v>
      </c>
      <c r="AO13" s="11" t="s">
        <v>45</v>
      </c>
      <c r="AP13" s="11" t="s">
        <v>46</v>
      </c>
      <c r="AQ13" s="13"/>
    </row>
    <row r="14" spans="1:43" ht="20" customHeight="1" x14ac:dyDescent="0.15">
      <c r="A14" s="9" t="s">
        <v>47</v>
      </c>
      <c r="B14" s="10" t="s">
        <v>48</v>
      </c>
      <c r="C14" s="11" t="s">
        <v>49</v>
      </c>
      <c r="D14" s="11" t="s">
        <v>50</v>
      </c>
      <c r="E14" s="12">
        <v>11</v>
      </c>
      <c r="F14" s="12">
        <v>3</v>
      </c>
      <c r="G14" s="12">
        <v>2</v>
      </c>
      <c r="H14" s="11" t="s">
        <v>50</v>
      </c>
      <c r="I14" s="12">
        <v>1</v>
      </c>
      <c r="J14" s="12">
        <v>0.68770283300000301</v>
      </c>
      <c r="K14" s="11" t="s">
        <v>45</v>
      </c>
      <c r="L14" s="12">
        <v>2</v>
      </c>
      <c r="M14" s="12">
        <v>3</v>
      </c>
      <c r="N14" s="12">
        <v>11</v>
      </c>
      <c r="O14" s="12">
        <v>1</v>
      </c>
      <c r="P14" s="12">
        <v>18.591603791999699</v>
      </c>
      <c r="Q14" s="13"/>
      <c r="R14" s="13"/>
      <c r="S14" s="13"/>
      <c r="T14" s="13"/>
      <c r="U14" s="13"/>
      <c r="V14" s="12">
        <v>18.585063874999801</v>
      </c>
      <c r="W14" s="12">
        <v>18.591603791999699</v>
      </c>
      <c r="X14" s="12">
        <v>19.077231625000401</v>
      </c>
      <c r="Y14" s="12">
        <v>19.077231625000401</v>
      </c>
      <c r="Z14" s="12">
        <v>19.077231625000401</v>
      </c>
      <c r="AA14" s="12">
        <v>19.779105334000601</v>
      </c>
      <c r="AB14" s="11" t="s">
        <v>50</v>
      </c>
      <c r="AC14" s="12">
        <v>1</v>
      </c>
      <c r="AD14" s="12">
        <v>0.68770283300000301</v>
      </c>
      <c r="AE14" s="11" t="s">
        <v>45</v>
      </c>
      <c r="AF14" s="13"/>
      <c r="AG14" s="13"/>
      <c r="AH14" s="13"/>
      <c r="AI14" s="12">
        <v>57</v>
      </c>
      <c r="AJ14" s="12">
        <v>1</v>
      </c>
      <c r="AK14" s="11" t="s">
        <v>42</v>
      </c>
      <c r="AL14" s="11" t="s">
        <v>43</v>
      </c>
      <c r="AM14" s="13"/>
      <c r="AN14" s="11" t="s">
        <v>44</v>
      </c>
      <c r="AO14" s="11" t="s">
        <v>45</v>
      </c>
      <c r="AP14" s="11" t="s">
        <v>46</v>
      </c>
      <c r="AQ14" s="13"/>
    </row>
    <row r="15" spans="1:43" ht="20" customHeight="1" x14ac:dyDescent="0.15">
      <c r="A15" s="9" t="s">
        <v>47</v>
      </c>
      <c r="B15" s="10" t="s">
        <v>48</v>
      </c>
      <c r="C15" s="11" t="s">
        <v>49</v>
      </c>
      <c r="D15" s="11" t="s">
        <v>50</v>
      </c>
      <c r="E15" s="12">
        <v>12</v>
      </c>
      <c r="F15" s="12">
        <v>0</v>
      </c>
      <c r="G15" s="12">
        <v>3</v>
      </c>
      <c r="H15" s="11" t="s">
        <v>50</v>
      </c>
      <c r="I15" s="12">
        <v>1</v>
      </c>
      <c r="J15" s="12">
        <v>0.63356316700083004</v>
      </c>
      <c r="K15" s="11" t="s">
        <v>45</v>
      </c>
      <c r="L15" s="12">
        <v>3</v>
      </c>
      <c r="M15" s="12">
        <v>0</v>
      </c>
      <c r="N15" s="12">
        <v>12</v>
      </c>
      <c r="O15" s="12">
        <v>1</v>
      </c>
      <c r="P15" s="12">
        <v>19.789078292000301</v>
      </c>
      <c r="Q15" s="13"/>
      <c r="R15" s="13"/>
      <c r="S15" s="13"/>
      <c r="T15" s="13"/>
      <c r="U15" s="13"/>
      <c r="V15" s="12">
        <v>19.780265792000101</v>
      </c>
      <c r="W15" s="12">
        <v>19.789078292000301</v>
      </c>
      <c r="X15" s="12">
        <v>20.277422250001099</v>
      </c>
      <c r="Y15" s="12">
        <v>20.277422250001099</v>
      </c>
      <c r="Z15" s="12">
        <v>20.277422250001099</v>
      </c>
      <c r="AA15" s="12">
        <v>20.9164549590005</v>
      </c>
      <c r="AB15" s="11" t="s">
        <v>50</v>
      </c>
      <c r="AC15" s="12">
        <v>1</v>
      </c>
      <c r="AD15" s="12">
        <v>0.63356316700083004</v>
      </c>
      <c r="AE15" s="11" t="s">
        <v>45</v>
      </c>
      <c r="AF15" s="13"/>
      <c r="AG15" s="13"/>
      <c r="AH15" s="13"/>
      <c r="AI15" s="12">
        <v>57</v>
      </c>
      <c r="AJ15" s="12">
        <v>1</v>
      </c>
      <c r="AK15" s="11" t="s">
        <v>42</v>
      </c>
      <c r="AL15" s="11" t="s">
        <v>43</v>
      </c>
      <c r="AM15" s="13"/>
      <c r="AN15" s="11" t="s">
        <v>44</v>
      </c>
      <c r="AO15" s="11" t="s">
        <v>45</v>
      </c>
      <c r="AP15" s="11" t="s">
        <v>46</v>
      </c>
      <c r="AQ15" s="13"/>
    </row>
    <row r="16" spans="1:43" ht="20" customHeight="1" x14ac:dyDescent="0.15">
      <c r="A16" s="9" t="s">
        <v>54</v>
      </c>
      <c r="B16" s="10" t="s">
        <v>48</v>
      </c>
      <c r="C16" s="11" t="s">
        <v>52</v>
      </c>
      <c r="D16" s="11" t="s">
        <v>50</v>
      </c>
      <c r="E16" s="12">
        <v>13</v>
      </c>
      <c r="F16" s="12">
        <v>1</v>
      </c>
      <c r="G16" s="12">
        <v>3</v>
      </c>
      <c r="H16" s="11" t="s">
        <v>50</v>
      </c>
      <c r="I16" s="12">
        <v>1</v>
      </c>
      <c r="J16" s="12">
        <v>0.61923529100022301</v>
      </c>
      <c r="K16" s="11" t="s">
        <v>45</v>
      </c>
      <c r="L16" s="12">
        <v>3</v>
      </c>
      <c r="M16" s="12">
        <v>1</v>
      </c>
      <c r="N16" s="12">
        <v>13</v>
      </c>
      <c r="O16" s="12">
        <v>3</v>
      </c>
      <c r="P16" s="12">
        <v>20.930179417000499</v>
      </c>
      <c r="Q16" s="13"/>
      <c r="R16" s="13"/>
      <c r="S16" s="13"/>
      <c r="T16" s="13"/>
      <c r="U16" s="13"/>
      <c r="V16" s="12">
        <v>20.9206497089999</v>
      </c>
      <c r="W16" s="12">
        <v>20.930179417000499</v>
      </c>
      <c r="X16" s="12">
        <v>21.410596167001099</v>
      </c>
      <c r="Y16" s="12">
        <v>21.410596167001099</v>
      </c>
      <c r="Z16" s="12">
        <v>21.410596167001099</v>
      </c>
      <c r="AA16" s="12">
        <v>22.033522125000701</v>
      </c>
      <c r="AB16" s="11" t="s">
        <v>50</v>
      </c>
      <c r="AC16" s="12">
        <v>1</v>
      </c>
      <c r="AD16" s="12">
        <v>0.61923529100022301</v>
      </c>
      <c r="AE16" s="11" t="s">
        <v>45</v>
      </c>
      <c r="AF16" s="13"/>
      <c r="AG16" s="13"/>
      <c r="AH16" s="13"/>
      <c r="AI16" s="12">
        <v>57</v>
      </c>
      <c r="AJ16" s="12">
        <v>1</v>
      </c>
      <c r="AK16" s="11" t="s">
        <v>42</v>
      </c>
      <c r="AL16" s="11" t="s">
        <v>43</v>
      </c>
      <c r="AM16" s="13"/>
      <c r="AN16" s="11" t="s">
        <v>44</v>
      </c>
      <c r="AO16" s="11" t="s">
        <v>45</v>
      </c>
      <c r="AP16" s="11" t="s">
        <v>46</v>
      </c>
      <c r="AQ16" s="13"/>
    </row>
    <row r="17" spans="1:43" ht="20" customHeight="1" x14ac:dyDescent="0.15">
      <c r="A17" s="9" t="s">
        <v>54</v>
      </c>
      <c r="B17" s="10" t="s">
        <v>51</v>
      </c>
      <c r="C17" s="11" t="s">
        <v>49</v>
      </c>
      <c r="D17" s="11" t="s">
        <v>53</v>
      </c>
      <c r="E17" s="12">
        <v>14</v>
      </c>
      <c r="F17" s="12">
        <v>2</v>
      </c>
      <c r="G17" s="12">
        <v>3</v>
      </c>
      <c r="H17" s="11" t="s">
        <v>53</v>
      </c>
      <c r="I17" s="12">
        <v>1</v>
      </c>
      <c r="J17" s="12">
        <v>0.74373358299999404</v>
      </c>
      <c r="K17" s="11" t="s">
        <v>45</v>
      </c>
      <c r="L17" s="12">
        <v>3</v>
      </c>
      <c r="M17" s="12">
        <v>2</v>
      </c>
      <c r="N17" s="12">
        <v>14</v>
      </c>
      <c r="O17" s="12">
        <v>2</v>
      </c>
      <c r="P17" s="12">
        <v>22.043277083999801</v>
      </c>
      <c r="Q17" s="13"/>
      <c r="R17" s="13"/>
      <c r="S17" s="13"/>
      <c r="T17" s="13"/>
      <c r="U17" s="13"/>
      <c r="V17" s="12">
        <v>22.034385667000599</v>
      </c>
      <c r="W17" s="12">
        <v>22.043277083999801</v>
      </c>
      <c r="X17" s="12">
        <v>22.527243374999699</v>
      </c>
      <c r="Y17" s="12">
        <v>22.527243374999699</v>
      </c>
      <c r="Z17" s="12">
        <v>22.527243374999699</v>
      </c>
      <c r="AA17" s="12">
        <v>23.278891375000999</v>
      </c>
      <c r="AB17" s="11" t="s">
        <v>53</v>
      </c>
      <c r="AC17" s="12">
        <v>1</v>
      </c>
      <c r="AD17" s="12">
        <v>0.74373358299999404</v>
      </c>
      <c r="AE17" s="11" t="s">
        <v>45</v>
      </c>
      <c r="AF17" s="13"/>
      <c r="AG17" s="13"/>
      <c r="AH17" s="13"/>
      <c r="AI17" s="12">
        <v>57</v>
      </c>
      <c r="AJ17" s="12">
        <v>1</v>
      </c>
      <c r="AK17" s="11" t="s">
        <v>42</v>
      </c>
      <c r="AL17" s="11" t="s">
        <v>43</v>
      </c>
      <c r="AM17" s="13"/>
      <c r="AN17" s="11" t="s">
        <v>44</v>
      </c>
      <c r="AO17" s="11" t="s">
        <v>45</v>
      </c>
      <c r="AP17" s="11" t="s">
        <v>46</v>
      </c>
      <c r="AQ17" s="13"/>
    </row>
    <row r="18" spans="1:43" ht="20" customHeight="1" x14ac:dyDescent="0.15">
      <c r="A18" s="9" t="s">
        <v>47</v>
      </c>
      <c r="B18" s="10" t="s">
        <v>51</v>
      </c>
      <c r="C18" s="11" t="s">
        <v>52</v>
      </c>
      <c r="D18" s="11" t="s">
        <v>53</v>
      </c>
      <c r="E18" s="12">
        <v>15</v>
      </c>
      <c r="F18" s="12">
        <v>3</v>
      </c>
      <c r="G18" s="12">
        <v>3</v>
      </c>
      <c r="H18" s="11" t="s">
        <v>53</v>
      </c>
      <c r="I18" s="12">
        <v>1</v>
      </c>
      <c r="J18" s="12">
        <v>0.70770641699891701</v>
      </c>
      <c r="K18" s="11" t="s">
        <v>45</v>
      </c>
      <c r="L18" s="12">
        <v>3</v>
      </c>
      <c r="M18" s="12">
        <v>3</v>
      </c>
      <c r="N18" s="12">
        <v>15</v>
      </c>
      <c r="O18" s="12">
        <v>0</v>
      </c>
      <c r="P18" s="12">
        <v>23.2914153340007</v>
      </c>
      <c r="Q18" s="13"/>
      <c r="R18" s="13"/>
      <c r="S18" s="13"/>
      <c r="T18" s="13"/>
      <c r="U18" s="13"/>
      <c r="V18" s="12">
        <v>23.283030959000801</v>
      </c>
      <c r="W18" s="12">
        <v>23.2914153340007</v>
      </c>
      <c r="X18" s="12">
        <v>23.777220959000299</v>
      </c>
      <c r="Y18" s="12">
        <v>23.777220959000299</v>
      </c>
      <c r="Z18" s="12">
        <v>23.777220959000299</v>
      </c>
      <c r="AA18" s="12">
        <v>24.495446917000699</v>
      </c>
      <c r="AB18" s="11" t="s">
        <v>53</v>
      </c>
      <c r="AC18" s="12">
        <v>1</v>
      </c>
      <c r="AD18" s="12">
        <v>0.70770641699891701</v>
      </c>
      <c r="AE18" s="11" t="s">
        <v>45</v>
      </c>
      <c r="AF18" s="13"/>
      <c r="AG18" s="13"/>
      <c r="AH18" s="13"/>
      <c r="AI18" s="12">
        <v>57</v>
      </c>
      <c r="AJ18" s="12">
        <v>1</v>
      </c>
      <c r="AK18" s="11" t="s">
        <v>42</v>
      </c>
      <c r="AL18" s="11" t="s">
        <v>43</v>
      </c>
      <c r="AM18" s="13"/>
      <c r="AN18" s="11" t="s">
        <v>44</v>
      </c>
      <c r="AO18" s="11" t="s">
        <v>45</v>
      </c>
      <c r="AP18" s="11" t="s">
        <v>46</v>
      </c>
      <c r="AQ18" s="13"/>
    </row>
    <row r="19" spans="1:43" ht="20" customHeight="1" x14ac:dyDescent="0.15">
      <c r="A19" s="9" t="s">
        <v>54</v>
      </c>
      <c r="B19" s="10" t="s">
        <v>48</v>
      </c>
      <c r="C19" s="11" t="s">
        <v>52</v>
      </c>
      <c r="D19" s="11" t="s">
        <v>50</v>
      </c>
      <c r="E19" s="12">
        <v>16</v>
      </c>
      <c r="F19" s="12">
        <v>0</v>
      </c>
      <c r="G19" s="12">
        <v>4</v>
      </c>
      <c r="H19" s="11" t="s">
        <v>50</v>
      </c>
      <c r="I19" s="12">
        <v>1</v>
      </c>
      <c r="J19" s="12">
        <v>0.79495287499958101</v>
      </c>
      <c r="K19" s="11" t="s">
        <v>45</v>
      </c>
      <c r="L19" s="12">
        <v>4</v>
      </c>
      <c r="M19" s="12">
        <v>0</v>
      </c>
      <c r="N19" s="12">
        <v>16</v>
      </c>
      <c r="O19" s="12">
        <v>3</v>
      </c>
      <c r="P19" s="12">
        <v>24.509321167001001</v>
      </c>
      <c r="Q19" s="13"/>
      <c r="R19" s="13"/>
      <c r="S19" s="13"/>
      <c r="T19" s="13"/>
      <c r="U19" s="13"/>
      <c r="V19" s="12">
        <v>24.5005225000004</v>
      </c>
      <c r="W19" s="12">
        <v>24.509321167001001</v>
      </c>
      <c r="X19" s="12">
        <v>24.993901584000898</v>
      </c>
      <c r="Y19" s="12">
        <v>24.993901584000898</v>
      </c>
      <c r="Z19" s="12">
        <v>24.993901584000898</v>
      </c>
      <c r="AA19" s="12">
        <v>25.796302541999498</v>
      </c>
      <c r="AB19" s="11" t="s">
        <v>50</v>
      </c>
      <c r="AC19" s="12">
        <v>1</v>
      </c>
      <c r="AD19" s="12">
        <v>0.79495287499958101</v>
      </c>
      <c r="AE19" s="11" t="s">
        <v>45</v>
      </c>
      <c r="AF19" s="13"/>
      <c r="AG19" s="13"/>
      <c r="AH19" s="13"/>
      <c r="AI19" s="12">
        <v>57</v>
      </c>
      <c r="AJ19" s="12">
        <v>1</v>
      </c>
      <c r="AK19" s="11" t="s">
        <v>42</v>
      </c>
      <c r="AL19" s="11" t="s">
        <v>43</v>
      </c>
      <c r="AM19" s="13"/>
      <c r="AN19" s="11" t="s">
        <v>44</v>
      </c>
      <c r="AO19" s="11" t="s">
        <v>45</v>
      </c>
      <c r="AP19" s="11" t="s">
        <v>46</v>
      </c>
      <c r="AQ19" s="13"/>
    </row>
    <row r="20" spans="1:43" ht="20" customHeight="1" x14ac:dyDescent="0.15">
      <c r="A20" s="9" t="s">
        <v>47</v>
      </c>
      <c r="B20" s="10" t="s">
        <v>51</v>
      </c>
      <c r="C20" s="11" t="s">
        <v>52</v>
      </c>
      <c r="D20" s="11" t="s">
        <v>53</v>
      </c>
      <c r="E20" s="12">
        <v>17</v>
      </c>
      <c r="F20" s="12">
        <v>1</v>
      </c>
      <c r="G20" s="12">
        <v>4</v>
      </c>
      <c r="H20" s="11" t="s">
        <v>53</v>
      </c>
      <c r="I20" s="12">
        <v>1</v>
      </c>
      <c r="J20" s="12">
        <v>0.84380874999987998</v>
      </c>
      <c r="K20" s="11" t="s">
        <v>45</v>
      </c>
      <c r="L20" s="12">
        <v>4</v>
      </c>
      <c r="M20" s="12">
        <v>1</v>
      </c>
      <c r="N20" s="12">
        <v>17</v>
      </c>
      <c r="O20" s="12">
        <v>0</v>
      </c>
      <c r="P20" s="12">
        <v>25.8095776669998</v>
      </c>
      <c r="Q20" s="13"/>
      <c r="R20" s="13"/>
      <c r="S20" s="13"/>
      <c r="T20" s="13"/>
      <c r="U20" s="13"/>
      <c r="V20" s="12">
        <v>25.801160667000701</v>
      </c>
      <c r="W20" s="12">
        <v>25.8095776669998</v>
      </c>
      <c r="X20" s="12">
        <v>26.294014958999501</v>
      </c>
      <c r="Y20" s="12">
        <v>26.294014958999501</v>
      </c>
      <c r="Z20" s="12">
        <v>26.294014958999501</v>
      </c>
      <c r="AA20" s="12">
        <v>27.1455784589998</v>
      </c>
      <c r="AB20" s="11" t="s">
        <v>53</v>
      </c>
      <c r="AC20" s="12">
        <v>1</v>
      </c>
      <c r="AD20" s="12">
        <v>0.84380874999987998</v>
      </c>
      <c r="AE20" s="11" t="s">
        <v>45</v>
      </c>
      <c r="AF20" s="13"/>
      <c r="AG20" s="13"/>
      <c r="AH20" s="13"/>
      <c r="AI20" s="12">
        <v>57</v>
      </c>
      <c r="AJ20" s="12">
        <v>1</v>
      </c>
      <c r="AK20" s="11" t="s">
        <v>42</v>
      </c>
      <c r="AL20" s="11" t="s">
        <v>43</v>
      </c>
      <c r="AM20" s="13"/>
      <c r="AN20" s="11" t="s">
        <v>44</v>
      </c>
      <c r="AO20" s="11" t="s">
        <v>45</v>
      </c>
      <c r="AP20" s="11" t="s">
        <v>46</v>
      </c>
      <c r="AQ20" s="13"/>
    </row>
    <row r="21" spans="1:43" ht="20" customHeight="1" x14ac:dyDescent="0.15">
      <c r="A21" s="9" t="s">
        <v>54</v>
      </c>
      <c r="B21" s="10" t="s">
        <v>51</v>
      </c>
      <c r="C21" s="11" t="s">
        <v>49</v>
      </c>
      <c r="D21" s="11" t="s">
        <v>53</v>
      </c>
      <c r="E21" s="12">
        <v>18</v>
      </c>
      <c r="F21" s="12">
        <v>2</v>
      </c>
      <c r="G21" s="12">
        <v>4</v>
      </c>
      <c r="H21" s="11" t="s">
        <v>53</v>
      </c>
      <c r="I21" s="12">
        <v>1</v>
      </c>
      <c r="J21" s="12">
        <v>0.929724917001295</v>
      </c>
      <c r="K21" s="11" t="s">
        <v>45</v>
      </c>
      <c r="L21" s="12">
        <v>4</v>
      </c>
      <c r="M21" s="12">
        <v>2</v>
      </c>
      <c r="N21" s="12">
        <v>18</v>
      </c>
      <c r="O21" s="12">
        <v>2</v>
      </c>
      <c r="P21" s="12">
        <v>27.159058749999499</v>
      </c>
      <c r="Q21" s="13"/>
      <c r="R21" s="13"/>
      <c r="S21" s="13"/>
      <c r="T21" s="13"/>
      <c r="U21" s="13"/>
      <c r="V21" s="12">
        <v>27.150561124999498</v>
      </c>
      <c r="W21" s="12">
        <v>27.159058749999499</v>
      </c>
      <c r="X21" s="12">
        <v>27.6440474589999</v>
      </c>
      <c r="Y21" s="12">
        <v>27.6440474589999</v>
      </c>
      <c r="Z21" s="12">
        <v>27.6440474589999</v>
      </c>
      <c r="AA21" s="12">
        <v>28.5799595000008</v>
      </c>
      <c r="AB21" s="11" t="s">
        <v>53</v>
      </c>
      <c r="AC21" s="12">
        <v>1</v>
      </c>
      <c r="AD21" s="12">
        <v>0.929724917001295</v>
      </c>
      <c r="AE21" s="11" t="s">
        <v>45</v>
      </c>
      <c r="AF21" s="13"/>
      <c r="AG21" s="13"/>
      <c r="AH21" s="13"/>
      <c r="AI21" s="12">
        <v>57</v>
      </c>
      <c r="AJ21" s="12">
        <v>1</v>
      </c>
      <c r="AK21" s="11" t="s">
        <v>42</v>
      </c>
      <c r="AL21" s="11" t="s">
        <v>43</v>
      </c>
      <c r="AM21" s="13"/>
      <c r="AN21" s="11" t="s">
        <v>44</v>
      </c>
      <c r="AO21" s="11" t="s">
        <v>45</v>
      </c>
      <c r="AP21" s="11" t="s">
        <v>46</v>
      </c>
      <c r="AQ21" s="13"/>
    </row>
    <row r="22" spans="1:43" ht="20" customHeight="1" x14ac:dyDescent="0.15">
      <c r="A22" s="9" t="s">
        <v>47</v>
      </c>
      <c r="B22" s="10" t="s">
        <v>48</v>
      </c>
      <c r="C22" s="11" t="s">
        <v>49</v>
      </c>
      <c r="D22" s="11" t="s">
        <v>50</v>
      </c>
      <c r="E22" s="12">
        <v>19</v>
      </c>
      <c r="F22" s="12">
        <v>3</v>
      </c>
      <c r="G22" s="12">
        <v>4</v>
      </c>
      <c r="H22" s="11" t="s">
        <v>50</v>
      </c>
      <c r="I22" s="12">
        <v>1</v>
      </c>
      <c r="J22" s="12">
        <v>1.0323443750003201</v>
      </c>
      <c r="K22" s="11" t="s">
        <v>45</v>
      </c>
      <c r="L22" s="12">
        <v>4</v>
      </c>
      <c r="M22" s="12">
        <v>3</v>
      </c>
      <c r="N22" s="12">
        <v>19</v>
      </c>
      <c r="O22" s="12">
        <v>1</v>
      </c>
      <c r="P22" s="12">
        <v>28.593258417000499</v>
      </c>
      <c r="Q22" s="13"/>
      <c r="R22" s="13"/>
      <c r="S22" s="13"/>
      <c r="T22" s="13"/>
      <c r="U22" s="13"/>
      <c r="V22" s="12">
        <v>28.584646584000399</v>
      </c>
      <c r="W22" s="12">
        <v>28.593258417000499</v>
      </c>
      <c r="X22" s="12">
        <v>29.077335292000502</v>
      </c>
      <c r="Y22" s="12">
        <v>29.077335292000502</v>
      </c>
      <c r="Z22" s="12">
        <v>29.077335292000502</v>
      </c>
      <c r="AA22" s="12">
        <v>30.112753708999701</v>
      </c>
      <c r="AB22" s="11" t="s">
        <v>50</v>
      </c>
      <c r="AC22" s="12">
        <v>1</v>
      </c>
      <c r="AD22" s="12">
        <v>1.0323443750003201</v>
      </c>
      <c r="AE22" s="11" t="s">
        <v>45</v>
      </c>
      <c r="AF22" s="13"/>
      <c r="AG22" s="13"/>
      <c r="AH22" s="13"/>
      <c r="AI22" s="12">
        <v>57</v>
      </c>
      <c r="AJ22" s="12">
        <v>1</v>
      </c>
      <c r="AK22" s="11" t="s">
        <v>42</v>
      </c>
      <c r="AL22" s="11" t="s">
        <v>43</v>
      </c>
      <c r="AM22" s="13"/>
      <c r="AN22" s="11" t="s">
        <v>44</v>
      </c>
      <c r="AO22" s="11" t="s">
        <v>45</v>
      </c>
      <c r="AP22" s="11" t="s">
        <v>46</v>
      </c>
      <c r="AQ22" s="13"/>
    </row>
    <row r="23" spans="1:43" ht="20" customHeight="1" x14ac:dyDescent="0.15">
      <c r="A23" s="9" t="s">
        <v>54</v>
      </c>
      <c r="B23" s="10" t="s">
        <v>51</v>
      </c>
      <c r="C23" s="11" t="s">
        <v>49</v>
      </c>
      <c r="D23" s="11" t="s">
        <v>53</v>
      </c>
      <c r="E23" s="12">
        <v>20</v>
      </c>
      <c r="F23" s="12">
        <v>0</v>
      </c>
      <c r="G23" s="12">
        <v>5</v>
      </c>
      <c r="H23" s="11" t="s">
        <v>53</v>
      </c>
      <c r="I23" s="12">
        <v>1</v>
      </c>
      <c r="J23" s="12">
        <v>0.85299095799928204</v>
      </c>
      <c r="K23" s="11" t="s">
        <v>45</v>
      </c>
      <c r="L23" s="12">
        <v>5</v>
      </c>
      <c r="M23" s="12">
        <v>0</v>
      </c>
      <c r="N23" s="12">
        <v>20</v>
      </c>
      <c r="O23" s="12">
        <v>2</v>
      </c>
      <c r="P23" s="12">
        <v>30.127420875000102</v>
      </c>
      <c r="Q23" s="13"/>
      <c r="R23" s="13"/>
      <c r="S23" s="13"/>
      <c r="T23" s="13"/>
      <c r="U23" s="13"/>
      <c r="V23" s="12">
        <v>30.118832125001099</v>
      </c>
      <c r="W23" s="12">
        <v>30.127420875000102</v>
      </c>
      <c r="X23" s="12">
        <v>30.6107136250012</v>
      </c>
      <c r="Y23" s="12">
        <v>30.6107136250012</v>
      </c>
      <c r="Z23" s="12">
        <v>30.6107136250012</v>
      </c>
      <c r="AA23" s="12">
        <v>31.4659363749997</v>
      </c>
      <c r="AB23" s="11" t="s">
        <v>53</v>
      </c>
      <c r="AC23" s="12">
        <v>1</v>
      </c>
      <c r="AD23" s="12">
        <v>0.85299095799928204</v>
      </c>
      <c r="AE23" s="11" t="s">
        <v>45</v>
      </c>
      <c r="AF23" s="13"/>
      <c r="AG23" s="13"/>
      <c r="AH23" s="13"/>
      <c r="AI23" s="12">
        <v>57</v>
      </c>
      <c r="AJ23" s="12">
        <v>1</v>
      </c>
      <c r="AK23" s="11" t="s">
        <v>42</v>
      </c>
      <c r="AL23" s="11" t="s">
        <v>43</v>
      </c>
      <c r="AM23" s="13"/>
      <c r="AN23" s="11" t="s">
        <v>44</v>
      </c>
      <c r="AO23" s="11" t="s">
        <v>45</v>
      </c>
      <c r="AP23" s="11" t="s">
        <v>46</v>
      </c>
      <c r="AQ23" s="13"/>
    </row>
    <row r="24" spans="1:43" ht="20" customHeight="1" x14ac:dyDescent="0.15">
      <c r="A24" s="9" t="s">
        <v>47</v>
      </c>
      <c r="B24" s="10" t="s">
        <v>51</v>
      </c>
      <c r="C24" s="11" t="s">
        <v>52</v>
      </c>
      <c r="D24" s="11" t="s">
        <v>53</v>
      </c>
      <c r="E24" s="12">
        <v>21</v>
      </c>
      <c r="F24" s="12">
        <v>1</v>
      </c>
      <c r="G24" s="12">
        <v>5</v>
      </c>
      <c r="H24" s="11" t="s">
        <v>53</v>
      </c>
      <c r="I24" s="12">
        <v>1</v>
      </c>
      <c r="J24" s="12">
        <v>0.646197375001066</v>
      </c>
      <c r="K24" s="11" t="s">
        <v>45</v>
      </c>
      <c r="L24" s="12">
        <v>5</v>
      </c>
      <c r="M24" s="12">
        <v>1</v>
      </c>
      <c r="N24" s="12">
        <v>21</v>
      </c>
      <c r="O24" s="12">
        <v>0</v>
      </c>
      <c r="P24" s="12">
        <v>31.494167791999601</v>
      </c>
      <c r="Q24" s="13"/>
      <c r="R24" s="13"/>
      <c r="S24" s="13"/>
      <c r="T24" s="13"/>
      <c r="U24" s="13"/>
      <c r="V24" s="12">
        <v>31.470113625000501</v>
      </c>
      <c r="W24" s="12">
        <v>31.494167791999601</v>
      </c>
      <c r="X24" s="12">
        <v>31.960551416999799</v>
      </c>
      <c r="Y24" s="12">
        <v>31.960551416999799</v>
      </c>
      <c r="Z24" s="12">
        <v>31.960551416999799</v>
      </c>
      <c r="AA24" s="12">
        <v>32.612622709000803</v>
      </c>
      <c r="AB24" s="11" t="s">
        <v>53</v>
      </c>
      <c r="AC24" s="12">
        <v>1</v>
      </c>
      <c r="AD24" s="12">
        <v>0.646197375001066</v>
      </c>
      <c r="AE24" s="11" t="s">
        <v>45</v>
      </c>
      <c r="AF24" s="13"/>
      <c r="AG24" s="13"/>
      <c r="AH24" s="13"/>
      <c r="AI24" s="12">
        <v>57</v>
      </c>
      <c r="AJ24" s="12">
        <v>1</v>
      </c>
      <c r="AK24" s="11" t="s">
        <v>42</v>
      </c>
      <c r="AL24" s="11" t="s">
        <v>43</v>
      </c>
      <c r="AM24" s="13"/>
      <c r="AN24" s="11" t="s">
        <v>44</v>
      </c>
      <c r="AO24" s="11" t="s">
        <v>45</v>
      </c>
      <c r="AP24" s="11" t="s">
        <v>46</v>
      </c>
      <c r="AQ24" s="13"/>
    </row>
    <row r="25" spans="1:43" ht="20" customHeight="1" x14ac:dyDescent="0.15">
      <c r="A25" s="9" t="s">
        <v>47</v>
      </c>
      <c r="B25" s="10" t="s">
        <v>48</v>
      </c>
      <c r="C25" s="11" t="s">
        <v>49</v>
      </c>
      <c r="D25" s="11" t="s">
        <v>50</v>
      </c>
      <c r="E25" s="12">
        <v>22</v>
      </c>
      <c r="F25" s="12">
        <v>2</v>
      </c>
      <c r="G25" s="12">
        <v>5</v>
      </c>
      <c r="H25" s="11" t="s">
        <v>50</v>
      </c>
      <c r="I25" s="12">
        <v>1</v>
      </c>
      <c r="J25" s="12">
        <v>0.70618124999964504</v>
      </c>
      <c r="K25" s="11" t="s">
        <v>45</v>
      </c>
      <c r="L25" s="12">
        <v>5</v>
      </c>
      <c r="M25" s="12">
        <v>2</v>
      </c>
      <c r="N25" s="12">
        <v>22</v>
      </c>
      <c r="O25" s="12">
        <v>1</v>
      </c>
      <c r="P25" s="12">
        <v>32.622556084001197</v>
      </c>
      <c r="Q25" s="13"/>
      <c r="R25" s="13"/>
      <c r="S25" s="13"/>
      <c r="T25" s="13"/>
      <c r="U25" s="13"/>
      <c r="V25" s="12">
        <v>32.613766917000298</v>
      </c>
      <c r="W25" s="12">
        <v>32.622556084001197</v>
      </c>
      <c r="X25" s="12">
        <v>33.110587834000398</v>
      </c>
      <c r="Y25" s="12">
        <v>33.110587834000398</v>
      </c>
      <c r="Z25" s="12">
        <v>33.110587834000398</v>
      </c>
      <c r="AA25" s="12">
        <v>33.828938500000703</v>
      </c>
      <c r="AB25" s="11" t="s">
        <v>50</v>
      </c>
      <c r="AC25" s="12">
        <v>1</v>
      </c>
      <c r="AD25" s="12">
        <v>0.70618124999964504</v>
      </c>
      <c r="AE25" s="11" t="s">
        <v>45</v>
      </c>
      <c r="AF25" s="13"/>
      <c r="AG25" s="13"/>
      <c r="AH25" s="13"/>
      <c r="AI25" s="12">
        <v>57</v>
      </c>
      <c r="AJ25" s="12">
        <v>1</v>
      </c>
      <c r="AK25" s="11" t="s">
        <v>42</v>
      </c>
      <c r="AL25" s="11" t="s">
        <v>43</v>
      </c>
      <c r="AM25" s="13"/>
      <c r="AN25" s="11" t="s">
        <v>44</v>
      </c>
      <c r="AO25" s="11" t="s">
        <v>45</v>
      </c>
      <c r="AP25" s="11" t="s">
        <v>46</v>
      </c>
      <c r="AQ25" s="13"/>
    </row>
    <row r="26" spans="1:43" ht="20" customHeight="1" x14ac:dyDescent="0.15">
      <c r="A26" s="9" t="s">
        <v>54</v>
      </c>
      <c r="B26" s="10" t="s">
        <v>48</v>
      </c>
      <c r="C26" s="11" t="s">
        <v>52</v>
      </c>
      <c r="D26" s="11" t="s">
        <v>50</v>
      </c>
      <c r="E26" s="12">
        <v>23</v>
      </c>
      <c r="F26" s="12">
        <v>3</v>
      </c>
      <c r="G26" s="12">
        <v>5</v>
      </c>
      <c r="H26" s="11" t="s">
        <v>50</v>
      </c>
      <c r="I26" s="12">
        <v>1</v>
      </c>
      <c r="J26" s="12">
        <v>0.62237708300017403</v>
      </c>
      <c r="K26" s="11" t="s">
        <v>45</v>
      </c>
      <c r="L26" s="12">
        <v>5</v>
      </c>
      <c r="M26" s="12">
        <v>3</v>
      </c>
      <c r="N26" s="12">
        <v>23</v>
      </c>
      <c r="O26" s="12">
        <v>3</v>
      </c>
      <c r="P26" s="12">
        <v>33.842051167001003</v>
      </c>
      <c r="Q26" s="13"/>
      <c r="R26" s="13"/>
      <c r="S26" s="13"/>
      <c r="T26" s="13"/>
      <c r="U26" s="13"/>
      <c r="V26" s="12">
        <v>33.833696749999902</v>
      </c>
      <c r="W26" s="12">
        <v>33.842051167001003</v>
      </c>
      <c r="X26" s="12">
        <v>34.327289917000599</v>
      </c>
      <c r="Y26" s="12">
        <v>34.327289917000599</v>
      </c>
      <c r="Z26" s="12">
        <v>34.327289917000599</v>
      </c>
      <c r="AA26" s="12">
        <v>34.962428625000001</v>
      </c>
      <c r="AB26" s="11" t="s">
        <v>50</v>
      </c>
      <c r="AC26" s="12">
        <v>1</v>
      </c>
      <c r="AD26" s="12">
        <v>0.62237708300017403</v>
      </c>
      <c r="AE26" s="11" t="s">
        <v>45</v>
      </c>
      <c r="AF26" s="13"/>
      <c r="AG26" s="13"/>
      <c r="AH26" s="13"/>
      <c r="AI26" s="12">
        <v>57</v>
      </c>
      <c r="AJ26" s="12">
        <v>1</v>
      </c>
      <c r="AK26" s="11" t="s">
        <v>42</v>
      </c>
      <c r="AL26" s="11" t="s">
        <v>43</v>
      </c>
      <c r="AM26" s="13"/>
      <c r="AN26" s="11" t="s">
        <v>44</v>
      </c>
      <c r="AO26" s="11" t="s">
        <v>45</v>
      </c>
      <c r="AP26" s="11" t="s">
        <v>46</v>
      </c>
      <c r="AQ26" s="13"/>
    </row>
    <row r="27" spans="1:43" ht="20" customHeight="1" x14ac:dyDescent="0.15">
      <c r="A27" s="9" t="s">
        <v>54</v>
      </c>
      <c r="B27" s="10" t="s">
        <v>48</v>
      </c>
      <c r="C27" s="11" t="s">
        <v>52</v>
      </c>
      <c r="D27" s="11" t="s">
        <v>50</v>
      </c>
      <c r="E27" s="12">
        <v>24</v>
      </c>
      <c r="F27" s="12">
        <v>0</v>
      </c>
      <c r="G27" s="12">
        <v>6</v>
      </c>
      <c r="H27" s="11" t="s">
        <v>50</v>
      </c>
      <c r="I27" s="12">
        <v>1</v>
      </c>
      <c r="J27" s="12">
        <v>0.49707216699971501</v>
      </c>
      <c r="K27" s="11" t="s">
        <v>45</v>
      </c>
      <c r="L27" s="12">
        <v>6</v>
      </c>
      <c r="M27" s="12">
        <v>0</v>
      </c>
      <c r="N27" s="12">
        <v>24</v>
      </c>
      <c r="O27" s="12">
        <v>3</v>
      </c>
      <c r="P27" s="12">
        <v>34.972088833999798</v>
      </c>
      <c r="Q27" s="13"/>
      <c r="R27" s="13"/>
      <c r="S27" s="13"/>
      <c r="T27" s="13"/>
      <c r="U27" s="13"/>
      <c r="V27" s="12">
        <v>34.963487291999598</v>
      </c>
      <c r="W27" s="12">
        <v>34.972088833999798</v>
      </c>
      <c r="X27" s="12">
        <v>35.460559167000604</v>
      </c>
      <c r="Y27" s="12">
        <v>35.460559167000604</v>
      </c>
      <c r="Z27" s="12">
        <v>35.460559167000604</v>
      </c>
      <c r="AA27" s="12">
        <v>35.962460124999801</v>
      </c>
      <c r="AB27" s="11" t="s">
        <v>50</v>
      </c>
      <c r="AC27" s="12">
        <v>1</v>
      </c>
      <c r="AD27" s="12">
        <v>0.49707216699971501</v>
      </c>
      <c r="AE27" s="11" t="s">
        <v>45</v>
      </c>
      <c r="AF27" s="13"/>
      <c r="AG27" s="13"/>
      <c r="AH27" s="13"/>
      <c r="AI27" s="12">
        <v>57</v>
      </c>
      <c r="AJ27" s="12">
        <v>1</v>
      </c>
      <c r="AK27" s="11" t="s">
        <v>42</v>
      </c>
      <c r="AL27" s="11" t="s">
        <v>43</v>
      </c>
      <c r="AM27" s="13"/>
      <c r="AN27" s="11" t="s">
        <v>44</v>
      </c>
      <c r="AO27" s="11" t="s">
        <v>45</v>
      </c>
      <c r="AP27" s="11" t="s">
        <v>46</v>
      </c>
      <c r="AQ27" s="13"/>
    </row>
    <row r="28" spans="1:43" ht="20" customHeight="1" x14ac:dyDescent="0.15">
      <c r="A28" s="9" t="s">
        <v>54</v>
      </c>
      <c r="B28" s="10" t="s">
        <v>51</v>
      </c>
      <c r="C28" s="11" t="s">
        <v>49</v>
      </c>
      <c r="D28" s="11" t="s">
        <v>53</v>
      </c>
      <c r="E28" s="12">
        <v>25</v>
      </c>
      <c r="F28" s="12">
        <v>1</v>
      </c>
      <c r="G28" s="12">
        <v>6</v>
      </c>
      <c r="H28" s="11" t="s">
        <v>53</v>
      </c>
      <c r="I28" s="12">
        <v>1</v>
      </c>
      <c r="J28" s="12">
        <v>0.85894233300132306</v>
      </c>
      <c r="K28" s="11" t="s">
        <v>45</v>
      </c>
      <c r="L28" s="12">
        <v>6</v>
      </c>
      <c r="M28" s="12">
        <v>1</v>
      </c>
      <c r="N28" s="12">
        <v>25</v>
      </c>
      <c r="O28" s="12">
        <v>2</v>
      </c>
      <c r="P28" s="12">
        <v>35.972307500000198</v>
      </c>
      <c r="Q28" s="13"/>
      <c r="R28" s="13"/>
      <c r="S28" s="13"/>
      <c r="T28" s="13"/>
      <c r="U28" s="13"/>
      <c r="V28" s="12">
        <v>35.963620542001102</v>
      </c>
      <c r="W28" s="12">
        <v>35.972307500000198</v>
      </c>
      <c r="X28" s="12">
        <v>36.460700959</v>
      </c>
      <c r="Y28" s="12">
        <v>36.460700959</v>
      </c>
      <c r="Z28" s="12">
        <v>36.460700959</v>
      </c>
      <c r="AA28" s="12">
        <v>37.328994375000597</v>
      </c>
      <c r="AB28" s="11" t="s">
        <v>53</v>
      </c>
      <c r="AC28" s="12">
        <v>1</v>
      </c>
      <c r="AD28" s="12">
        <v>0.85894233300132306</v>
      </c>
      <c r="AE28" s="11" t="s">
        <v>45</v>
      </c>
      <c r="AF28" s="13"/>
      <c r="AG28" s="13"/>
      <c r="AH28" s="13"/>
      <c r="AI28" s="12">
        <v>57</v>
      </c>
      <c r="AJ28" s="12">
        <v>1</v>
      </c>
      <c r="AK28" s="11" t="s">
        <v>42</v>
      </c>
      <c r="AL28" s="11" t="s">
        <v>43</v>
      </c>
      <c r="AM28" s="13"/>
      <c r="AN28" s="11" t="s">
        <v>44</v>
      </c>
      <c r="AO28" s="11" t="s">
        <v>45</v>
      </c>
      <c r="AP28" s="11" t="s">
        <v>46</v>
      </c>
      <c r="AQ28" s="13"/>
    </row>
    <row r="29" spans="1:43" ht="20" customHeight="1" x14ac:dyDescent="0.15">
      <c r="A29" s="9" t="s">
        <v>47</v>
      </c>
      <c r="B29" s="10" t="s">
        <v>48</v>
      </c>
      <c r="C29" s="11" t="s">
        <v>49</v>
      </c>
      <c r="D29" s="11" t="s">
        <v>50</v>
      </c>
      <c r="E29" s="12">
        <v>26</v>
      </c>
      <c r="F29" s="12">
        <v>2</v>
      </c>
      <c r="G29" s="12">
        <v>6</v>
      </c>
      <c r="H29" s="11" t="s">
        <v>50</v>
      </c>
      <c r="I29" s="12">
        <v>1</v>
      </c>
      <c r="J29" s="12">
        <v>0.82736737500090396</v>
      </c>
      <c r="K29" s="11" t="s">
        <v>45</v>
      </c>
      <c r="L29" s="12">
        <v>6</v>
      </c>
      <c r="M29" s="12">
        <v>2</v>
      </c>
      <c r="N29" s="12">
        <v>26</v>
      </c>
      <c r="O29" s="12">
        <v>1</v>
      </c>
      <c r="P29" s="12">
        <v>37.3423002090003</v>
      </c>
      <c r="Q29" s="13"/>
      <c r="R29" s="13"/>
      <c r="S29" s="13"/>
      <c r="T29" s="13"/>
      <c r="U29" s="13"/>
      <c r="V29" s="12">
        <v>37.333939459000298</v>
      </c>
      <c r="W29" s="12">
        <v>37.3423002090003</v>
      </c>
      <c r="X29" s="12">
        <v>37.827275208999701</v>
      </c>
      <c r="Y29" s="12">
        <v>37.827275208999701</v>
      </c>
      <c r="Z29" s="12">
        <v>37.827275208999701</v>
      </c>
      <c r="AA29" s="12">
        <v>38.662163334000098</v>
      </c>
      <c r="AB29" s="11" t="s">
        <v>50</v>
      </c>
      <c r="AC29" s="12">
        <v>1</v>
      </c>
      <c r="AD29" s="12">
        <v>0.82736737500090396</v>
      </c>
      <c r="AE29" s="11" t="s">
        <v>45</v>
      </c>
      <c r="AF29" s="13"/>
      <c r="AG29" s="13"/>
      <c r="AH29" s="13"/>
      <c r="AI29" s="12">
        <v>57</v>
      </c>
      <c r="AJ29" s="12">
        <v>1</v>
      </c>
      <c r="AK29" s="11" t="s">
        <v>42</v>
      </c>
      <c r="AL29" s="11" t="s">
        <v>43</v>
      </c>
      <c r="AM29" s="13"/>
      <c r="AN29" s="11" t="s">
        <v>44</v>
      </c>
      <c r="AO29" s="11" t="s">
        <v>45</v>
      </c>
      <c r="AP29" s="11" t="s">
        <v>46</v>
      </c>
      <c r="AQ29" s="13"/>
    </row>
    <row r="30" spans="1:43" ht="20" customHeight="1" x14ac:dyDescent="0.15">
      <c r="A30" s="9" t="s">
        <v>47</v>
      </c>
      <c r="B30" s="10" t="s">
        <v>51</v>
      </c>
      <c r="C30" s="11" t="s">
        <v>52</v>
      </c>
      <c r="D30" s="11" t="s">
        <v>53</v>
      </c>
      <c r="E30" s="12">
        <v>27</v>
      </c>
      <c r="F30" s="12">
        <v>3</v>
      </c>
      <c r="G30" s="12">
        <v>6</v>
      </c>
      <c r="H30" s="11" t="s">
        <v>50</v>
      </c>
      <c r="I30" s="12">
        <v>0</v>
      </c>
      <c r="J30" s="12">
        <v>0.64690074999998604</v>
      </c>
      <c r="K30" s="11" t="s">
        <v>45</v>
      </c>
      <c r="L30" s="12">
        <v>6</v>
      </c>
      <c r="M30" s="12">
        <v>3</v>
      </c>
      <c r="N30" s="12">
        <v>27</v>
      </c>
      <c r="O30" s="12">
        <v>0</v>
      </c>
      <c r="P30" s="12">
        <v>38.671689167000302</v>
      </c>
      <c r="Q30" s="13"/>
      <c r="R30" s="13"/>
      <c r="S30" s="13"/>
      <c r="T30" s="13"/>
      <c r="U30" s="13"/>
      <c r="V30" s="12">
        <v>38.663061125000198</v>
      </c>
      <c r="W30" s="12">
        <v>38.671689167000302</v>
      </c>
      <c r="X30" s="12">
        <v>39.160611084000301</v>
      </c>
      <c r="Y30" s="12">
        <v>39.160611084000301</v>
      </c>
      <c r="Z30" s="12">
        <v>39.160611084000301</v>
      </c>
      <c r="AA30" s="12">
        <v>39.812397834000897</v>
      </c>
      <c r="AB30" s="11" t="s">
        <v>50</v>
      </c>
      <c r="AC30" s="12">
        <v>0</v>
      </c>
      <c r="AD30" s="12">
        <v>0.64690074999998604</v>
      </c>
      <c r="AE30" s="11" t="s">
        <v>45</v>
      </c>
      <c r="AF30" s="13"/>
      <c r="AG30" s="13"/>
      <c r="AH30" s="13"/>
      <c r="AI30" s="12">
        <v>57</v>
      </c>
      <c r="AJ30" s="12">
        <v>1</v>
      </c>
      <c r="AK30" s="11" t="s">
        <v>42</v>
      </c>
      <c r="AL30" s="11" t="s">
        <v>43</v>
      </c>
      <c r="AM30" s="13"/>
      <c r="AN30" s="11" t="s">
        <v>44</v>
      </c>
      <c r="AO30" s="11" t="s">
        <v>45</v>
      </c>
      <c r="AP30" s="11" t="s">
        <v>46</v>
      </c>
      <c r="AQ30" s="13"/>
    </row>
    <row r="31" spans="1:43" ht="20" customHeight="1" x14ac:dyDescent="0.15">
      <c r="A31" s="9" t="s">
        <v>47</v>
      </c>
      <c r="B31" s="10" t="s">
        <v>51</v>
      </c>
      <c r="C31" s="11" t="s">
        <v>52</v>
      </c>
      <c r="D31" s="11" t="s">
        <v>53</v>
      </c>
      <c r="E31" s="12">
        <v>28</v>
      </c>
      <c r="F31" s="12">
        <v>0</v>
      </c>
      <c r="G31" s="12">
        <v>7</v>
      </c>
      <c r="H31" s="11" t="s">
        <v>53</v>
      </c>
      <c r="I31" s="12">
        <v>1</v>
      </c>
      <c r="J31" s="12">
        <v>1.6088260830001699</v>
      </c>
      <c r="K31" s="11" t="s">
        <v>45</v>
      </c>
      <c r="L31" s="12">
        <v>7</v>
      </c>
      <c r="M31" s="12">
        <v>0</v>
      </c>
      <c r="N31" s="12">
        <v>28</v>
      </c>
      <c r="O31" s="12">
        <v>0</v>
      </c>
      <c r="P31" s="12">
        <v>39.822314750001198</v>
      </c>
      <c r="Q31" s="13"/>
      <c r="R31" s="13"/>
      <c r="S31" s="13"/>
      <c r="T31" s="13"/>
      <c r="U31" s="13"/>
      <c r="V31" s="12">
        <v>39.813547625000901</v>
      </c>
      <c r="W31" s="12">
        <v>39.822314750001198</v>
      </c>
      <c r="X31" s="12">
        <v>40.310691167000201</v>
      </c>
      <c r="Y31" s="12">
        <v>40.310691167000201</v>
      </c>
      <c r="Z31" s="12">
        <v>40.310691167000201</v>
      </c>
      <c r="AA31" s="12">
        <v>41.928953167000103</v>
      </c>
      <c r="AB31" s="11" t="s">
        <v>53</v>
      </c>
      <c r="AC31" s="12">
        <v>1</v>
      </c>
      <c r="AD31" s="12">
        <v>1.6088260830001699</v>
      </c>
      <c r="AE31" s="11" t="s">
        <v>45</v>
      </c>
      <c r="AF31" s="13"/>
      <c r="AG31" s="13"/>
      <c r="AH31" s="13"/>
      <c r="AI31" s="12">
        <v>57</v>
      </c>
      <c r="AJ31" s="12">
        <v>1</v>
      </c>
      <c r="AK31" s="11" t="s">
        <v>42</v>
      </c>
      <c r="AL31" s="11" t="s">
        <v>43</v>
      </c>
      <c r="AM31" s="13"/>
      <c r="AN31" s="11" t="s">
        <v>44</v>
      </c>
      <c r="AO31" s="11" t="s">
        <v>45</v>
      </c>
      <c r="AP31" s="11" t="s">
        <v>46</v>
      </c>
      <c r="AQ31" s="13"/>
    </row>
    <row r="32" spans="1:43" ht="20" customHeight="1" x14ac:dyDescent="0.15">
      <c r="A32" s="9" t="s">
        <v>47</v>
      </c>
      <c r="B32" s="10" t="s">
        <v>48</v>
      </c>
      <c r="C32" s="11" t="s">
        <v>49</v>
      </c>
      <c r="D32" s="11" t="s">
        <v>50</v>
      </c>
      <c r="E32" s="12">
        <v>29</v>
      </c>
      <c r="F32" s="12">
        <v>1</v>
      </c>
      <c r="G32" s="12">
        <v>7</v>
      </c>
      <c r="H32" s="11" t="s">
        <v>50</v>
      </c>
      <c r="I32" s="12">
        <v>1</v>
      </c>
      <c r="J32" s="12">
        <v>0.97935658400092496</v>
      </c>
      <c r="K32" s="11" t="s">
        <v>45</v>
      </c>
      <c r="L32" s="12">
        <v>7</v>
      </c>
      <c r="M32" s="12">
        <v>1</v>
      </c>
      <c r="N32" s="12">
        <v>29</v>
      </c>
      <c r="O32" s="12">
        <v>1</v>
      </c>
      <c r="P32" s="12">
        <v>41.9389488750003</v>
      </c>
      <c r="Q32" s="13"/>
      <c r="R32" s="13"/>
      <c r="S32" s="13"/>
      <c r="T32" s="13"/>
      <c r="U32" s="13"/>
      <c r="V32" s="12">
        <v>41.930116084000502</v>
      </c>
      <c r="W32" s="12">
        <v>41.9389488750003</v>
      </c>
      <c r="X32" s="12">
        <v>42.427166125000397</v>
      </c>
      <c r="Y32" s="12">
        <v>42.427166125000397</v>
      </c>
      <c r="Z32" s="12">
        <v>42.427166125000397</v>
      </c>
      <c r="AA32" s="12">
        <v>43.4123158750008</v>
      </c>
      <c r="AB32" s="11" t="s">
        <v>50</v>
      </c>
      <c r="AC32" s="12">
        <v>1</v>
      </c>
      <c r="AD32" s="12">
        <v>0.97935658400092496</v>
      </c>
      <c r="AE32" s="11" t="s">
        <v>45</v>
      </c>
      <c r="AF32" s="13"/>
      <c r="AG32" s="13"/>
      <c r="AH32" s="13"/>
      <c r="AI32" s="12">
        <v>57</v>
      </c>
      <c r="AJ32" s="12">
        <v>1</v>
      </c>
      <c r="AK32" s="11" t="s">
        <v>42</v>
      </c>
      <c r="AL32" s="11" t="s">
        <v>43</v>
      </c>
      <c r="AM32" s="13"/>
      <c r="AN32" s="11" t="s">
        <v>44</v>
      </c>
      <c r="AO32" s="11" t="s">
        <v>45</v>
      </c>
      <c r="AP32" s="11" t="s">
        <v>46</v>
      </c>
      <c r="AQ32" s="13"/>
    </row>
    <row r="33" spans="1:43" ht="20" customHeight="1" x14ac:dyDescent="0.15">
      <c r="A33" s="9" t="s">
        <v>54</v>
      </c>
      <c r="B33" s="10" t="s">
        <v>51</v>
      </c>
      <c r="C33" s="11" t="s">
        <v>49</v>
      </c>
      <c r="D33" s="11" t="s">
        <v>53</v>
      </c>
      <c r="E33" s="12">
        <v>30</v>
      </c>
      <c r="F33" s="12">
        <v>2</v>
      </c>
      <c r="G33" s="12">
        <v>7</v>
      </c>
      <c r="H33" s="11" t="s">
        <v>53</v>
      </c>
      <c r="I33" s="12">
        <v>1</v>
      </c>
      <c r="J33" s="12">
        <v>0.68869325000014203</v>
      </c>
      <c r="K33" s="11" t="s">
        <v>45</v>
      </c>
      <c r="L33" s="12">
        <v>7</v>
      </c>
      <c r="M33" s="12">
        <v>2</v>
      </c>
      <c r="N33" s="12">
        <v>30</v>
      </c>
      <c r="O33" s="12">
        <v>2</v>
      </c>
      <c r="P33" s="12">
        <v>43.4254773749999</v>
      </c>
      <c r="Q33" s="13"/>
      <c r="R33" s="13"/>
      <c r="S33" s="13"/>
      <c r="T33" s="13"/>
      <c r="U33" s="13"/>
      <c r="V33" s="12">
        <v>43.417124999999899</v>
      </c>
      <c r="W33" s="12">
        <v>43.4254773749999</v>
      </c>
      <c r="X33" s="12">
        <v>43.910608624999398</v>
      </c>
      <c r="Y33" s="12">
        <v>43.910608624999398</v>
      </c>
      <c r="Z33" s="12">
        <v>43.910608624999398</v>
      </c>
      <c r="AA33" s="12">
        <v>44.612460709000501</v>
      </c>
      <c r="AB33" s="11" t="s">
        <v>53</v>
      </c>
      <c r="AC33" s="12">
        <v>1</v>
      </c>
      <c r="AD33" s="12">
        <v>0.68869325000014203</v>
      </c>
      <c r="AE33" s="11" t="s">
        <v>45</v>
      </c>
      <c r="AF33" s="13"/>
      <c r="AG33" s="13"/>
      <c r="AH33" s="13"/>
      <c r="AI33" s="12">
        <v>57</v>
      </c>
      <c r="AJ33" s="12">
        <v>1</v>
      </c>
      <c r="AK33" s="11" t="s">
        <v>42</v>
      </c>
      <c r="AL33" s="11" t="s">
        <v>43</v>
      </c>
      <c r="AM33" s="13"/>
      <c r="AN33" s="11" t="s">
        <v>44</v>
      </c>
      <c r="AO33" s="11" t="s">
        <v>45</v>
      </c>
      <c r="AP33" s="11" t="s">
        <v>46</v>
      </c>
      <c r="AQ33" s="13"/>
    </row>
    <row r="34" spans="1:43" ht="20" customHeight="1" x14ac:dyDescent="0.15">
      <c r="A34" s="9" t="s">
        <v>54</v>
      </c>
      <c r="B34" s="10" t="s">
        <v>48</v>
      </c>
      <c r="C34" s="11" t="s">
        <v>52</v>
      </c>
      <c r="D34" s="11" t="s">
        <v>50</v>
      </c>
      <c r="E34" s="12">
        <v>31</v>
      </c>
      <c r="F34" s="12">
        <v>3</v>
      </c>
      <c r="G34" s="12">
        <v>7</v>
      </c>
      <c r="H34" s="11" t="s">
        <v>50</v>
      </c>
      <c r="I34" s="12">
        <v>1</v>
      </c>
      <c r="J34" s="12">
        <v>0.76770887500060803</v>
      </c>
      <c r="K34" s="11" t="s">
        <v>45</v>
      </c>
      <c r="L34" s="12">
        <v>7</v>
      </c>
      <c r="M34" s="12">
        <v>3</v>
      </c>
      <c r="N34" s="12">
        <v>31</v>
      </c>
      <c r="O34" s="12">
        <v>3</v>
      </c>
      <c r="P34" s="12">
        <v>44.622394</v>
      </c>
      <c r="Q34" s="13"/>
      <c r="R34" s="13"/>
      <c r="S34" s="13"/>
      <c r="T34" s="13"/>
      <c r="U34" s="13"/>
      <c r="V34" s="12">
        <v>44.613715584000602</v>
      </c>
      <c r="W34" s="12">
        <v>44.622394</v>
      </c>
      <c r="X34" s="12">
        <v>45.110555917001001</v>
      </c>
      <c r="Y34" s="12">
        <v>45.110555917001001</v>
      </c>
      <c r="Z34" s="12">
        <v>45.110555917001001</v>
      </c>
      <c r="AA34" s="12">
        <v>45.882195916999997</v>
      </c>
      <c r="AB34" s="11" t="s">
        <v>50</v>
      </c>
      <c r="AC34" s="12">
        <v>1</v>
      </c>
      <c r="AD34" s="12">
        <v>0.76770887500060803</v>
      </c>
      <c r="AE34" s="11" t="s">
        <v>45</v>
      </c>
      <c r="AF34" s="13"/>
      <c r="AG34" s="13"/>
      <c r="AH34" s="13"/>
      <c r="AI34" s="12">
        <v>57</v>
      </c>
      <c r="AJ34" s="12">
        <v>1</v>
      </c>
      <c r="AK34" s="11" t="s">
        <v>42</v>
      </c>
      <c r="AL34" s="11" t="s">
        <v>43</v>
      </c>
      <c r="AM34" s="13"/>
      <c r="AN34" s="11" t="s">
        <v>44</v>
      </c>
      <c r="AO34" s="11" t="s">
        <v>45</v>
      </c>
      <c r="AP34" s="11" t="s">
        <v>46</v>
      </c>
      <c r="AQ34" s="13"/>
    </row>
    <row r="35" spans="1:43" ht="20" customHeight="1" x14ac:dyDescent="0.15">
      <c r="A35" s="9" t="s">
        <v>47</v>
      </c>
      <c r="B35" s="10" t="s">
        <v>51</v>
      </c>
      <c r="C35" s="11" t="s">
        <v>52</v>
      </c>
      <c r="D35" s="11" t="s">
        <v>53</v>
      </c>
      <c r="E35" s="12">
        <v>32</v>
      </c>
      <c r="F35" s="12">
        <v>0</v>
      </c>
      <c r="G35" s="12">
        <v>8</v>
      </c>
      <c r="H35" s="11" t="s">
        <v>53</v>
      </c>
      <c r="I35" s="12">
        <v>1</v>
      </c>
      <c r="J35" s="12">
        <v>0.56104312499883202</v>
      </c>
      <c r="K35" s="11" t="s">
        <v>45</v>
      </c>
      <c r="L35" s="12">
        <v>8</v>
      </c>
      <c r="M35" s="12">
        <v>0</v>
      </c>
      <c r="N35" s="12">
        <v>32</v>
      </c>
      <c r="O35" s="12">
        <v>0</v>
      </c>
      <c r="P35" s="12">
        <v>45.8942854590005</v>
      </c>
      <c r="Q35" s="13"/>
      <c r="R35" s="13"/>
      <c r="S35" s="13"/>
      <c r="T35" s="13"/>
      <c r="U35" s="13"/>
      <c r="V35" s="12">
        <v>45.886384125000397</v>
      </c>
      <c r="W35" s="12">
        <v>45.8942854590005</v>
      </c>
      <c r="X35" s="12">
        <v>46.384292791999499</v>
      </c>
      <c r="Y35" s="12">
        <v>46.384292791999499</v>
      </c>
      <c r="Z35" s="12">
        <v>46.384292791999499</v>
      </c>
      <c r="AA35" s="12">
        <v>46.9494621670001</v>
      </c>
      <c r="AB35" s="11" t="s">
        <v>53</v>
      </c>
      <c r="AC35" s="12">
        <v>1</v>
      </c>
      <c r="AD35" s="12">
        <v>0.56104312499883202</v>
      </c>
      <c r="AE35" s="11" t="s">
        <v>45</v>
      </c>
      <c r="AF35" s="13"/>
      <c r="AG35" s="13"/>
      <c r="AH35" s="13"/>
      <c r="AI35" s="12">
        <v>57</v>
      </c>
      <c r="AJ35" s="12">
        <v>1</v>
      </c>
      <c r="AK35" s="11" t="s">
        <v>42</v>
      </c>
      <c r="AL35" s="11" t="s">
        <v>43</v>
      </c>
      <c r="AM35" s="13"/>
      <c r="AN35" s="11" t="s">
        <v>44</v>
      </c>
      <c r="AO35" s="11" t="s">
        <v>45</v>
      </c>
      <c r="AP35" s="11" t="s">
        <v>46</v>
      </c>
      <c r="AQ35" s="13"/>
    </row>
    <row r="36" spans="1:43" ht="20" customHeight="1" x14ac:dyDescent="0.15">
      <c r="A36" s="9" t="s">
        <v>47</v>
      </c>
      <c r="B36" s="10" t="s">
        <v>48</v>
      </c>
      <c r="C36" s="11" t="s">
        <v>49</v>
      </c>
      <c r="D36" s="11" t="s">
        <v>50</v>
      </c>
      <c r="E36" s="12">
        <v>33</v>
      </c>
      <c r="F36" s="12">
        <v>1</v>
      </c>
      <c r="G36" s="12">
        <v>8</v>
      </c>
      <c r="H36" s="11" t="s">
        <v>50</v>
      </c>
      <c r="I36" s="12">
        <v>1</v>
      </c>
      <c r="J36" s="12">
        <v>0.842381542001021</v>
      </c>
      <c r="K36" s="11" t="s">
        <v>45</v>
      </c>
      <c r="L36" s="12">
        <v>8</v>
      </c>
      <c r="M36" s="12">
        <v>1</v>
      </c>
      <c r="N36" s="12">
        <v>33</v>
      </c>
      <c r="O36" s="12">
        <v>1</v>
      </c>
      <c r="P36" s="12">
        <v>46.959621125000901</v>
      </c>
      <c r="Q36" s="13"/>
      <c r="R36" s="13"/>
      <c r="S36" s="13"/>
      <c r="T36" s="13"/>
      <c r="U36" s="13"/>
      <c r="V36" s="12">
        <v>46.950304084000898</v>
      </c>
      <c r="W36" s="12">
        <v>46.959621125000901</v>
      </c>
      <c r="X36" s="12">
        <v>47.449944250000001</v>
      </c>
      <c r="Y36" s="12">
        <v>47.449944250000001</v>
      </c>
      <c r="Z36" s="12">
        <v>47.449944250000001</v>
      </c>
      <c r="AA36" s="12">
        <v>48.296257916999799</v>
      </c>
      <c r="AB36" s="11" t="s">
        <v>50</v>
      </c>
      <c r="AC36" s="12">
        <v>1</v>
      </c>
      <c r="AD36" s="12">
        <v>0.842381542001021</v>
      </c>
      <c r="AE36" s="11" t="s">
        <v>45</v>
      </c>
      <c r="AF36" s="13"/>
      <c r="AG36" s="13"/>
      <c r="AH36" s="13"/>
      <c r="AI36" s="12">
        <v>57</v>
      </c>
      <c r="AJ36" s="12">
        <v>1</v>
      </c>
      <c r="AK36" s="11" t="s">
        <v>42</v>
      </c>
      <c r="AL36" s="11" t="s">
        <v>43</v>
      </c>
      <c r="AM36" s="13"/>
      <c r="AN36" s="11" t="s">
        <v>44</v>
      </c>
      <c r="AO36" s="11" t="s">
        <v>45</v>
      </c>
      <c r="AP36" s="11" t="s">
        <v>46</v>
      </c>
      <c r="AQ36" s="13"/>
    </row>
    <row r="37" spans="1:43" ht="20" customHeight="1" x14ac:dyDescent="0.15">
      <c r="A37" s="9" t="s">
        <v>54</v>
      </c>
      <c r="B37" s="10" t="s">
        <v>48</v>
      </c>
      <c r="C37" s="11" t="s">
        <v>52</v>
      </c>
      <c r="D37" s="11" t="s">
        <v>50</v>
      </c>
      <c r="E37" s="12">
        <v>34</v>
      </c>
      <c r="F37" s="12">
        <v>2</v>
      </c>
      <c r="G37" s="12">
        <v>8</v>
      </c>
      <c r="H37" s="11" t="s">
        <v>50</v>
      </c>
      <c r="I37" s="12">
        <v>1</v>
      </c>
      <c r="J37" s="12">
        <v>0.60741629200128999</v>
      </c>
      <c r="K37" s="11" t="s">
        <v>45</v>
      </c>
      <c r="L37" s="12">
        <v>8</v>
      </c>
      <c r="M37" s="12">
        <v>2</v>
      </c>
      <c r="N37" s="12">
        <v>34</v>
      </c>
      <c r="O37" s="12">
        <v>3</v>
      </c>
      <c r="P37" s="12">
        <v>48.309820124999497</v>
      </c>
      <c r="Q37" s="13"/>
      <c r="R37" s="13"/>
      <c r="S37" s="13"/>
      <c r="T37" s="13"/>
      <c r="U37" s="13"/>
      <c r="V37" s="12">
        <v>48.301376167000903</v>
      </c>
      <c r="W37" s="12">
        <v>48.309820124999497</v>
      </c>
      <c r="X37" s="12">
        <v>48.7938900000008</v>
      </c>
      <c r="Y37" s="12">
        <v>48.7938900000008</v>
      </c>
      <c r="Z37" s="12">
        <v>48.7938900000008</v>
      </c>
      <c r="AA37" s="12">
        <v>49.412396375000803</v>
      </c>
      <c r="AB37" s="11" t="s">
        <v>50</v>
      </c>
      <c r="AC37" s="12">
        <v>1</v>
      </c>
      <c r="AD37" s="12">
        <v>0.60741629200128999</v>
      </c>
      <c r="AE37" s="11" t="s">
        <v>45</v>
      </c>
      <c r="AF37" s="13"/>
      <c r="AG37" s="13"/>
      <c r="AH37" s="13"/>
      <c r="AI37" s="12">
        <v>57</v>
      </c>
      <c r="AJ37" s="12">
        <v>1</v>
      </c>
      <c r="AK37" s="11" t="s">
        <v>42</v>
      </c>
      <c r="AL37" s="11" t="s">
        <v>43</v>
      </c>
      <c r="AM37" s="13"/>
      <c r="AN37" s="11" t="s">
        <v>44</v>
      </c>
      <c r="AO37" s="11" t="s">
        <v>45</v>
      </c>
      <c r="AP37" s="11" t="s">
        <v>46</v>
      </c>
      <c r="AQ37" s="13"/>
    </row>
    <row r="38" spans="1:43" ht="20" customHeight="1" x14ac:dyDescent="0.15">
      <c r="A38" s="9" t="s">
        <v>54</v>
      </c>
      <c r="B38" s="10" t="s">
        <v>51</v>
      </c>
      <c r="C38" s="11" t="s">
        <v>49</v>
      </c>
      <c r="D38" s="11" t="s">
        <v>53</v>
      </c>
      <c r="E38" s="12">
        <v>35</v>
      </c>
      <c r="F38" s="12">
        <v>3</v>
      </c>
      <c r="G38" s="12">
        <v>8</v>
      </c>
      <c r="H38" s="11" t="s">
        <v>53</v>
      </c>
      <c r="I38" s="12">
        <v>1</v>
      </c>
      <c r="J38" s="12">
        <v>0.74280579100013699</v>
      </c>
      <c r="K38" s="11" t="s">
        <v>45</v>
      </c>
      <c r="L38" s="12">
        <v>8</v>
      </c>
      <c r="M38" s="12">
        <v>3</v>
      </c>
      <c r="N38" s="12">
        <v>35</v>
      </c>
      <c r="O38" s="12">
        <v>2</v>
      </c>
      <c r="P38" s="12">
        <v>49.422296459000798</v>
      </c>
      <c r="Q38" s="13"/>
      <c r="R38" s="13"/>
      <c r="S38" s="13"/>
      <c r="T38" s="13"/>
      <c r="U38" s="13"/>
      <c r="V38" s="12">
        <v>49.4135579169997</v>
      </c>
      <c r="W38" s="12">
        <v>49.422296459000798</v>
      </c>
      <c r="X38" s="12">
        <v>49.910546084000103</v>
      </c>
      <c r="Y38" s="12">
        <v>49.910546084000103</v>
      </c>
      <c r="Z38" s="12">
        <v>49.910546084000103</v>
      </c>
      <c r="AA38" s="12">
        <v>50.661855000000301</v>
      </c>
      <c r="AB38" s="11" t="s">
        <v>53</v>
      </c>
      <c r="AC38" s="12">
        <v>1</v>
      </c>
      <c r="AD38" s="12">
        <v>0.74280579100013699</v>
      </c>
      <c r="AE38" s="11" t="s">
        <v>45</v>
      </c>
      <c r="AF38" s="13"/>
      <c r="AG38" s="13"/>
      <c r="AH38" s="13"/>
      <c r="AI38" s="12">
        <v>57</v>
      </c>
      <c r="AJ38" s="12">
        <v>1</v>
      </c>
      <c r="AK38" s="11" t="s">
        <v>42</v>
      </c>
      <c r="AL38" s="11" t="s">
        <v>43</v>
      </c>
      <c r="AM38" s="13"/>
      <c r="AN38" s="11" t="s">
        <v>44</v>
      </c>
      <c r="AO38" s="11" t="s">
        <v>45</v>
      </c>
      <c r="AP38" s="11" t="s">
        <v>46</v>
      </c>
      <c r="AQ38" s="13"/>
    </row>
    <row r="39" spans="1:43" ht="20" customHeight="1" x14ac:dyDescent="0.15">
      <c r="A39" s="9" t="s">
        <v>54</v>
      </c>
      <c r="B39" s="10" t="s">
        <v>51</v>
      </c>
      <c r="C39" s="11" t="s">
        <v>49</v>
      </c>
      <c r="D39" s="11" t="s">
        <v>53</v>
      </c>
      <c r="E39" s="12">
        <v>36</v>
      </c>
      <c r="F39" s="12">
        <v>0</v>
      </c>
      <c r="G39" s="12">
        <v>9</v>
      </c>
      <c r="H39" s="11" t="s">
        <v>53</v>
      </c>
      <c r="I39" s="12">
        <v>1</v>
      </c>
      <c r="J39" s="12">
        <v>0.88969316699876799</v>
      </c>
      <c r="K39" s="11" t="s">
        <v>45</v>
      </c>
      <c r="L39" s="12">
        <v>9</v>
      </c>
      <c r="M39" s="12">
        <v>0</v>
      </c>
      <c r="N39" s="12">
        <v>36</v>
      </c>
      <c r="O39" s="12">
        <v>2</v>
      </c>
      <c r="P39" s="12">
        <v>50.6715791669994</v>
      </c>
      <c r="Q39" s="13"/>
      <c r="R39" s="13"/>
      <c r="S39" s="13"/>
      <c r="T39" s="13"/>
      <c r="U39" s="13"/>
      <c r="V39" s="12">
        <v>50.662786584000102</v>
      </c>
      <c r="W39" s="12">
        <v>50.6715791669994</v>
      </c>
      <c r="X39" s="12">
        <v>51.160540541999602</v>
      </c>
      <c r="Y39" s="12">
        <v>51.160540541999602</v>
      </c>
      <c r="Z39" s="12">
        <v>51.160540541999602</v>
      </c>
      <c r="AA39" s="12">
        <v>52.062586375001104</v>
      </c>
      <c r="AB39" s="11" t="s">
        <v>53</v>
      </c>
      <c r="AC39" s="12">
        <v>1</v>
      </c>
      <c r="AD39" s="12">
        <v>0.88969316699876799</v>
      </c>
      <c r="AE39" s="11" t="s">
        <v>45</v>
      </c>
      <c r="AF39" s="13"/>
      <c r="AG39" s="13"/>
      <c r="AH39" s="13"/>
      <c r="AI39" s="12">
        <v>57</v>
      </c>
      <c r="AJ39" s="12">
        <v>1</v>
      </c>
      <c r="AK39" s="11" t="s">
        <v>42</v>
      </c>
      <c r="AL39" s="11" t="s">
        <v>43</v>
      </c>
      <c r="AM39" s="13"/>
      <c r="AN39" s="11" t="s">
        <v>44</v>
      </c>
      <c r="AO39" s="11" t="s">
        <v>45</v>
      </c>
      <c r="AP39" s="11" t="s">
        <v>46</v>
      </c>
      <c r="AQ39" s="13"/>
    </row>
    <row r="40" spans="1:43" ht="20" customHeight="1" x14ac:dyDescent="0.15">
      <c r="A40" s="9" t="s">
        <v>47</v>
      </c>
      <c r="B40" s="10" t="s">
        <v>48</v>
      </c>
      <c r="C40" s="11" t="s">
        <v>49</v>
      </c>
      <c r="D40" s="11" t="s">
        <v>50</v>
      </c>
      <c r="E40" s="12">
        <v>37</v>
      </c>
      <c r="F40" s="12">
        <v>1</v>
      </c>
      <c r="G40" s="12">
        <v>9</v>
      </c>
      <c r="H40" s="11" t="s">
        <v>50</v>
      </c>
      <c r="I40" s="12">
        <v>1</v>
      </c>
      <c r="J40" s="12">
        <v>0.68480945900046197</v>
      </c>
      <c r="K40" s="11" t="s">
        <v>45</v>
      </c>
      <c r="L40" s="12">
        <v>9</v>
      </c>
      <c r="M40" s="12">
        <v>1</v>
      </c>
      <c r="N40" s="12">
        <v>37</v>
      </c>
      <c r="O40" s="12">
        <v>1</v>
      </c>
      <c r="P40" s="12">
        <v>52.075831709000298</v>
      </c>
      <c r="Q40" s="13"/>
      <c r="R40" s="13"/>
      <c r="S40" s="13"/>
      <c r="T40" s="13"/>
      <c r="U40" s="13"/>
      <c r="V40" s="12">
        <v>52.067220333999998</v>
      </c>
      <c r="W40" s="12">
        <v>52.075831709000298</v>
      </c>
      <c r="X40" s="12">
        <v>52.560440334000297</v>
      </c>
      <c r="Y40" s="12">
        <v>52.560440334000297</v>
      </c>
      <c r="Z40" s="12">
        <v>52.560440334000297</v>
      </c>
      <c r="AA40" s="12">
        <v>53.249746458999702</v>
      </c>
      <c r="AB40" s="11" t="s">
        <v>50</v>
      </c>
      <c r="AC40" s="12">
        <v>1</v>
      </c>
      <c r="AD40" s="12">
        <v>0.68480945900046197</v>
      </c>
      <c r="AE40" s="11" t="s">
        <v>45</v>
      </c>
      <c r="AF40" s="13"/>
      <c r="AG40" s="13"/>
      <c r="AH40" s="13"/>
      <c r="AI40" s="12">
        <v>57</v>
      </c>
      <c r="AJ40" s="12">
        <v>1</v>
      </c>
      <c r="AK40" s="11" t="s">
        <v>42</v>
      </c>
      <c r="AL40" s="11" t="s">
        <v>43</v>
      </c>
      <c r="AM40" s="13"/>
      <c r="AN40" s="11" t="s">
        <v>44</v>
      </c>
      <c r="AO40" s="11" t="s">
        <v>45</v>
      </c>
      <c r="AP40" s="11" t="s">
        <v>46</v>
      </c>
      <c r="AQ40" s="13"/>
    </row>
    <row r="41" spans="1:43" ht="20" customHeight="1" x14ac:dyDescent="0.15">
      <c r="A41" s="9" t="s">
        <v>54</v>
      </c>
      <c r="B41" s="10" t="s">
        <v>48</v>
      </c>
      <c r="C41" s="11" t="s">
        <v>52</v>
      </c>
      <c r="D41" s="11" t="s">
        <v>50</v>
      </c>
      <c r="E41" s="12">
        <v>38</v>
      </c>
      <c r="F41" s="12">
        <v>2</v>
      </c>
      <c r="G41" s="12">
        <v>9</v>
      </c>
      <c r="H41" s="11" t="s">
        <v>50</v>
      </c>
      <c r="I41" s="12">
        <v>1</v>
      </c>
      <c r="J41" s="12">
        <v>0.76582504199905099</v>
      </c>
      <c r="K41" s="11" t="s">
        <v>45</v>
      </c>
      <c r="L41" s="12">
        <v>9</v>
      </c>
      <c r="M41" s="12">
        <v>2</v>
      </c>
      <c r="N41" s="12">
        <v>38</v>
      </c>
      <c r="O41" s="12">
        <v>3</v>
      </c>
      <c r="P41" s="12">
        <v>53.263292792000399</v>
      </c>
      <c r="Q41" s="13"/>
      <c r="R41" s="13"/>
      <c r="S41" s="13"/>
      <c r="T41" s="13"/>
      <c r="U41" s="13"/>
      <c r="V41" s="12">
        <v>53.254065000000999</v>
      </c>
      <c r="W41" s="12">
        <v>53.263292792000399</v>
      </c>
      <c r="X41" s="12">
        <v>53.751420624999803</v>
      </c>
      <c r="Y41" s="12">
        <v>53.751420624999803</v>
      </c>
      <c r="Z41" s="12">
        <v>53.751420624999803</v>
      </c>
      <c r="AA41" s="12">
        <v>54.5289626249996</v>
      </c>
      <c r="AB41" s="11" t="s">
        <v>50</v>
      </c>
      <c r="AC41" s="12">
        <v>1</v>
      </c>
      <c r="AD41" s="12">
        <v>0.76582504199905099</v>
      </c>
      <c r="AE41" s="11" t="s">
        <v>45</v>
      </c>
      <c r="AF41" s="13"/>
      <c r="AG41" s="13"/>
      <c r="AH41" s="13"/>
      <c r="AI41" s="12">
        <v>57</v>
      </c>
      <c r="AJ41" s="12">
        <v>1</v>
      </c>
      <c r="AK41" s="11" t="s">
        <v>42</v>
      </c>
      <c r="AL41" s="11" t="s">
        <v>43</v>
      </c>
      <c r="AM41" s="13"/>
      <c r="AN41" s="11" t="s">
        <v>44</v>
      </c>
      <c r="AO41" s="11" t="s">
        <v>45</v>
      </c>
      <c r="AP41" s="11" t="s">
        <v>46</v>
      </c>
      <c r="AQ41" s="13"/>
    </row>
    <row r="42" spans="1:43" ht="20" customHeight="1" x14ac:dyDescent="0.15">
      <c r="A42" s="9" t="s">
        <v>47</v>
      </c>
      <c r="B42" s="10" t="s">
        <v>51</v>
      </c>
      <c r="C42" s="11" t="s">
        <v>52</v>
      </c>
      <c r="D42" s="11" t="s">
        <v>53</v>
      </c>
      <c r="E42" s="12">
        <v>39</v>
      </c>
      <c r="F42" s="12">
        <v>3</v>
      </c>
      <c r="G42" s="12">
        <v>9</v>
      </c>
      <c r="H42" s="11" t="s">
        <v>53</v>
      </c>
      <c r="I42" s="12">
        <v>1</v>
      </c>
      <c r="J42" s="12">
        <v>0.75911095899937198</v>
      </c>
      <c r="K42" s="11" t="s">
        <v>45</v>
      </c>
      <c r="L42" s="12">
        <v>9</v>
      </c>
      <c r="M42" s="12">
        <v>3</v>
      </c>
      <c r="N42" s="12">
        <v>39</v>
      </c>
      <c r="O42" s="12">
        <v>0</v>
      </c>
      <c r="P42" s="12">
        <v>54.541618499999501</v>
      </c>
      <c r="Q42" s="13"/>
      <c r="R42" s="13"/>
      <c r="S42" s="13"/>
      <c r="T42" s="13"/>
      <c r="U42" s="13"/>
      <c r="V42" s="12">
        <v>54.533170624999897</v>
      </c>
      <c r="W42" s="12">
        <v>54.541618499999501</v>
      </c>
      <c r="X42" s="12">
        <v>55.027117417001101</v>
      </c>
      <c r="Y42" s="12">
        <v>55.027117417001101</v>
      </c>
      <c r="Z42" s="12">
        <v>55.027117417001101</v>
      </c>
      <c r="AA42" s="12">
        <v>55.796343666999697</v>
      </c>
      <c r="AB42" s="11" t="s">
        <v>53</v>
      </c>
      <c r="AC42" s="12">
        <v>1</v>
      </c>
      <c r="AD42" s="12">
        <v>0.75911095899937198</v>
      </c>
      <c r="AE42" s="11" t="s">
        <v>45</v>
      </c>
      <c r="AF42" s="13"/>
      <c r="AG42" s="13"/>
      <c r="AH42" s="13"/>
      <c r="AI42" s="12">
        <v>57</v>
      </c>
      <c r="AJ42" s="12">
        <v>1</v>
      </c>
      <c r="AK42" s="11" t="s">
        <v>42</v>
      </c>
      <c r="AL42" s="11" t="s">
        <v>43</v>
      </c>
      <c r="AM42" s="13"/>
      <c r="AN42" s="11" t="s">
        <v>44</v>
      </c>
      <c r="AO42" s="11" t="s">
        <v>45</v>
      </c>
      <c r="AP42" s="11" t="s">
        <v>46</v>
      </c>
      <c r="AQ42" s="13"/>
    </row>
    <row r="43" spans="1:43" ht="20" customHeight="1" x14ac:dyDescent="0.15">
      <c r="A43" s="14"/>
      <c r="B43" s="15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2">
        <v>55.851313667000802</v>
      </c>
      <c r="AG43" s="12">
        <v>55.854739874999701</v>
      </c>
      <c r="AH43" s="12">
        <v>56.798118459000797</v>
      </c>
      <c r="AI43" s="12">
        <v>57</v>
      </c>
      <c r="AJ43" s="12">
        <v>1</v>
      </c>
      <c r="AK43" s="11" t="s">
        <v>42</v>
      </c>
      <c r="AL43" s="11" t="s">
        <v>43</v>
      </c>
      <c r="AM43" s="13"/>
      <c r="AN43" s="11" t="s">
        <v>44</v>
      </c>
      <c r="AO43" s="11" t="s">
        <v>45</v>
      </c>
      <c r="AP43" s="11" t="s">
        <v>46</v>
      </c>
      <c r="AQ43" s="13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AE59F-D338-8344-8C5C-5B691AAB56C2}">
  <sheetPr filterMode="1"/>
  <dimension ref="A1:AQ57"/>
  <sheetViews>
    <sheetView tabSelected="1" workbookViewId="0">
      <selection activeCell="B50" sqref="B50"/>
    </sheetView>
  </sheetViews>
  <sheetFormatPr baseColWidth="10" defaultRowHeight="13" x14ac:dyDescent="0.15"/>
  <cols>
    <col min="2" max="2" width="11.6640625" bestFit="1" customWidth="1"/>
  </cols>
  <sheetData>
    <row r="1" spans="1:43" s="1" customFormat="1" ht="20.2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3"/>
    </row>
    <row r="2" spans="1:43" s="1" customFormat="1" ht="20.25" hidden="1" customHeight="1" x14ac:dyDescent="0.15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7">
        <v>4.2943339994963E-3</v>
      </c>
      <c r="S2" s="7">
        <v>7.7606670001841901E-3</v>
      </c>
      <c r="T2" s="7">
        <v>1.0173932500001699</v>
      </c>
      <c r="U2" s="7">
        <v>0.99438766700041004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7">
        <v>57</v>
      </c>
      <c r="AJ2" s="7">
        <v>1</v>
      </c>
      <c r="AK2" s="8" t="s">
        <v>42</v>
      </c>
      <c r="AL2" s="8" t="s">
        <v>43</v>
      </c>
      <c r="AM2" s="6"/>
      <c r="AN2" s="8" t="s">
        <v>44</v>
      </c>
      <c r="AO2" s="8" t="s">
        <v>45</v>
      </c>
      <c r="AP2" s="8" t="s">
        <v>46</v>
      </c>
      <c r="AQ2" s="6"/>
    </row>
    <row r="3" spans="1:43" s="1" customFormat="1" ht="20" hidden="1" customHeight="1" x14ac:dyDescent="0.15">
      <c r="A3" s="9" t="s">
        <v>47</v>
      </c>
      <c r="B3" s="10" t="s">
        <v>48</v>
      </c>
      <c r="C3" s="11" t="s">
        <v>49</v>
      </c>
      <c r="D3" s="11" t="s">
        <v>50</v>
      </c>
      <c r="E3" s="12">
        <v>0</v>
      </c>
      <c r="F3" s="12">
        <v>0</v>
      </c>
      <c r="G3" s="12">
        <v>0</v>
      </c>
      <c r="H3" s="11" t="s">
        <v>50</v>
      </c>
      <c r="I3" s="12">
        <v>1</v>
      </c>
      <c r="J3" s="12">
        <v>1.61280579199956</v>
      </c>
      <c r="K3" s="11" t="s">
        <v>45</v>
      </c>
      <c r="L3" s="12">
        <v>0</v>
      </c>
      <c r="M3" s="12">
        <v>0</v>
      </c>
      <c r="N3" s="12">
        <v>0</v>
      </c>
      <c r="O3" s="12">
        <v>1</v>
      </c>
      <c r="P3" s="12">
        <v>1.0173932500001699</v>
      </c>
      <c r="Q3" s="13"/>
      <c r="R3" s="13"/>
      <c r="S3" s="13"/>
      <c r="T3" s="13"/>
      <c r="U3" s="13"/>
      <c r="V3" s="12">
        <v>1.01126254200062</v>
      </c>
      <c r="W3" s="12">
        <v>1.0173932500001699</v>
      </c>
      <c r="X3" s="12">
        <v>1.50381395899967</v>
      </c>
      <c r="Y3" s="12">
        <v>1.50381395899967</v>
      </c>
      <c r="Z3" s="12">
        <v>1.50381395899967</v>
      </c>
      <c r="AA3" s="12">
        <v>3.3068540000003899</v>
      </c>
      <c r="AB3" s="11" t="s">
        <v>50</v>
      </c>
      <c r="AC3" s="12">
        <v>1</v>
      </c>
      <c r="AD3" s="12">
        <v>1.61280579199956</v>
      </c>
      <c r="AE3" s="11" t="s">
        <v>45</v>
      </c>
      <c r="AF3" s="13"/>
      <c r="AG3" s="13"/>
      <c r="AH3" s="13"/>
      <c r="AI3" s="12">
        <v>57</v>
      </c>
      <c r="AJ3" s="12">
        <v>1</v>
      </c>
      <c r="AK3" s="11" t="s">
        <v>42</v>
      </c>
      <c r="AL3" s="11" t="s">
        <v>43</v>
      </c>
      <c r="AM3" s="13"/>
      <c r="AN3" s="11" t="s">
        <v>44</v>
      </c>
      <c r="AO3" s="11" t="s">
        <v>45</v>
      </c>
      <c r="AP3" s="11" t="s">
        <v>46</v>
      </c>
      <c r="AQ3" s="13"/>
    </row>
    <row r="4" spans="1:43" s="1" customFormat="1" ht="20" customHeight="1" x14ac:dyDescent="0.15">
      <c r="A4" s="9" t="s">
        <v>47</v>
      </c>
      <c r="B4" s="10" t="s">
        <v>51</v>
      </c>
      <c r="C4" s="11" t="s">
        <v>52</v>
      </c>
      <c r="D4" s="11" t="s">
        <v>53</v>
      </c>
      <c r="E4" s="12">
        <v>1</v>
      </c>
      <c r="F4" s="12">
        <v>1</v>
      </c>
      <c r="G4" s="12">
        <v>0</v>
      </c>
      <c r="H4" s="11" t="s">
        <v>53</v>
      </c>
      <c r="I4" s="12">
        <v>1</v>
      </c>
      <c r="J4" s="12">
        <v>0.83104379200085499</v>
      </c>
      <c r="K4" s="11" t="s">
        <v>45</v>
      </c>
      <c r="L4" s="12">
        <v>0</v>
      </c>
      <c r="M4" s="12">
        <v>1</v>
      </c>
      <c r="N4" s="12">
        <v>1</v>
      </c>
      <c r="O4" s="12">
        <v>0</v>
      </c>
      <c r="P4" s="12">
        <v>3.3145378749995902</v>
      </c>
      <c r="Q4" s="13"/>
      <c r="R4" s="13"/>
      <c r="S4" s="13"/>
      <c r="T4" s="13"/>
      <c r="U4" s="13"/>
      <c r="V4" s="12">
        <v>3.3071266250008202</v>
      </c>
      <c r="W4" s="12">
        <v>3.3145378749995902</v>
      </c>
      <c r="X4" s="12">
        <v>3.8002948339999398</v>
      </c>
      <c r="Y4" s="12">
        <v>3.8002948339999398</v>
      </c>
      <c r="Z4" s="12">
        <v>3.8002948339999398</v>
      </c>
      <c r="AA4" s="12">
        <v>4.6326162500008703</v>
      </c>
      <c r="AB4" s="11" t="s">
        <v>53</v>
      </c>
      <c r="AC4" s="12">
        <v>1</v>
      </c>
      <c r="AD4" s="12">
        <v>0.83104379200085499</v>
      </c>
      <c r="AE4" s="11" t="s">
        <v>45</v>
      </c>
      <c r="AF4" s="13"/>
      <c r="AG4" s="13"/>
      <c r="AH4" s="13"/>
      <c r="AI4" s="12">
        <v>57</v>
      </c>
      <c r="AJ4" s="12">
        <v>1</v>
      </c>
      <c r="AK4" s="11" t="s">
        <v>42</v>
      </c>
      <c r="AL4" s="11" t="s">
        <v>43</v>
      </c>
      <c r="AM4" s="13"/>
      <c r="AN4" s="11" t="s">
        <v>44</v>
      </c>
      <c r="AO4" s="11" t="s">
        <v>45</v>
      </c>
      <c r="AP4" s="11" t="s">
        <v>46</v>
      </c>
      <c r="AQ4" s="13"/>
    </row>
    <row r="5" spans="1:43" s="1" customFormat="1" ht="20" hidden="1" customHeight="1" x14ac:dyDescent="0.15">
      <c r="A5" s="9" t="s">
        <v>54</v>
      </c>
      <c r="B5" s="10" t="s">
        <v>51</v>
      </c>
      <c r="C5" s="11" t="s">
        <v>49</v>
      </c>
      <c r="D5" s="11" t="s">
        <v>53</v>
      </c>
      <c r="E5" s="12">
        <v>2</v>
      </c>
      <c r="F5" s="12">
        <v>2</v>
      </c>
      <c r="G5" s="12">
        <v>0</v>
      </c>
      <c r="H5" s="11" t="s">
        <v>53</v>
      </c>
      <c r="I5" s="12">
        <v>1</v>
      </c>
      <c r="J5" s="12">
        <v>0.99018562499986695</v>
      </c>
      <c r="K5" s="11" t="s">
        <v>45</v>
      </c>
      <c r="L5" s="12">
        <v>0</v>
      </c>
      <c r="M5" s="12">
        <v>2</v>
      </c>
      <c r="N5" s="12">
        <v>2</v>
      </c>
      <c r="O5" s="12">
        <v>2</v>
      </c>
      <c r="P5" s="12">
        <v>4.6503064170010502</v>
      </c>
      <c r="Q5" s="13"/>
      <c r="R5" s="13"/>
      <c r="S5" s="13"/>
      <c r="T5" s="13"/>
      <c r="U5" s="13"/>
      <c r="V5" s="12">
        <v>4.6432205420005603</v>
      </c>
      <c r="W5" s="12">
        <v>4.6503064170010502</v>
      </c>
      <c r="X5" s="12">
        <v>5.1350902499998501</v>
      </c>
      <c r="Y5" s="12">
        <v>5.1350902499998501</v>
      </c>
      <c r="Z5" s="12">
        <v>5.1350902499998501</v>
      </c>
      <c r="AA5" s="12">
        <v>6.1301934170005596</v>
      </c>
      <c r="AB5" s="11" t="s">
        <v>53</v>
      </c>
      <c r="AC5" s="12">
        <v>1</v>
      </c>
      <c r="AD5" s="12">
        <v>0.99018562499986695</v>
      </c>
      <c r="AE5" s="11" t="s">
        <v>45</v>
      </c>
      <c r="AF5" s="13"/>
      <c r="AG5" s="13"/>
      <c r="AH5" s="13"/>
      <c r="AI5" s="12">
        <v>57</v>
      </c>
      <c r="AJ5" s="12">
        <v>1</v>
      </c>
      <c r="AK5" s="11" t="s">
        <v>42</v>
      </c>
      <c r="AL5" s="11" t="s">
        <v>43</v>
      </c>
      <c r="AM5" s="13"/>
      <c r="AN5" s="11" t="s">
        <v>44</v>
      </c>
      <c r="AO5" s="11" t="s">
        <v>45</v>
      </c>
      <c r="AP5" s="11" t="s">
        <v>46</v>
      </c>
      <c r="AQ5" s="13"/>
    </row>
    <row r="6" spans="1:43" s="1" customFormat="1" ht="20" customHeight="1" x14ac:dyDescent="0.15">
      <c r="A6" s="9" t="s">
        <v>54</v>
      </c>
      <c r="B6" s="10" t="s">
        <v>48</v>
      </c>
      <c r="C6" s="11" t="s">
        <v>52</v>
      </c>
      <c r="D6" s="11" t="s">
        <v>50</v>
      </c>
      <c r="E6" s="12">
        <v>3</v>
      </c>
      <c r="F6" s="12">
        <v>3</v>
      </c>
      <c r="G6" s="12">
        <v>0</v>
      </c>
      <c r="H6" s="11" t="s">
        <v>50</v>
      </c>
      <c r="I6" s="12">
        <v>1</v>
      </c>
      <c r="J6" s="12">
        <v>0.86383766700055298</v>
      </c>
      <c r="K6" s="11" t="s">
        <v>45</v>
      </c>
      <c r="L6" s="12">
        <v>0</v>
      </c>
      <c r="M6" s="12">
        <v>3</v>
      </c>
      <c r="N6" s="12">
        <v>3</v>
      </c>
      <c r="O6" s="12">
        <v>3</v>
      </c>
      <c r="P6" s="12">
        <v>6.1491175419996598</v>
      </c>
      <c r="Q6" s="13"/>
      <c r="R6" s="13"/>
      <c r="S6" s="13"/>
      <c r="T6" s="13"/>
      <c r="U6" s="13"/>
      <c r="V6" s="12">
        <v>6.1314915420007301</v>
      </c>
      <c r="W6" s="12">
        <v>6.1491175419996598</v>
      </c>
      <c r="X6" s="12">
        <v>6.6274854170005701</v>
      </c>
      <c r="Y6" s="12">
        <v>6.6274854170005701</v>
      </c>
      <c r="Z6" s="12">
        <v>6.6274854170005701</v>
      </c>
      <c r="AA6" s="12">
        <v>7.4956887090011204</v>
      </c>
      <c r="AB6" s="11" t="s">
        <v>50</v>
      </c>
      <c r="AC6" s="12">
        <v>1</v>
      </c>
      <c r="AD6" s="12">
        <v>0.86383766700055298</v>
      </c>
      <c r="AE6" s="11" t="s">
        <v>45</v>
      </c>
      <c r="AF6" s="13"/>
      <c r="AG6" s="13"/>
      <c r="AH6" s="13"/>
      <c r="AI6" s="12">
        <v>57</v>
      </c>
      <c r="AJ6" s="12">
        <v>1</v>
      </c>
      <c r="AK6" s="11" t="s">
        <v>42</v>
      </c>
      <c r="AL6" s="11" t="s">
        <v>43</v>
      </c>
      <c r="AM6" s="13"/>
      <c r="AN6" s="11" t="s">
        <v>44</v>
      </c>
      <c r="AO6" s="11" t="s">
        <v>45</v>
      </c>
      <c r="AP6" s="11" t="s">
        <v>46</v>
      </c>
      <c r="AQ6" s="13"/>
    </row>
    <row r="7" spans="1:43" s="1" customFormat="1" ht="20" customHeight="1" x14ac:dyDescent="0.15">
      <c r="A7" s="9" t="s">
        <v>54</v>
      </c>
      <c r="B7" s="10" t="s">
        <v>48</v>
      </c>
      <c r="C7" s="11" t="s">
        <v>52</v>
      </c>
      <c r="D7" s="11" t="s">
        <v>50</v>
      </c>
      <c r="E7" s="12">
        <v>4</v>
      </c>
      <c r="F7" s="12">
        <v>0</v>
      </c>
      <c r="G7" s="12">
        <v>1</v>
      </c>
      <c r="H7" s="11" t="s">
        <v>50</v>
      </c>
      <c r="I7" s="12">
        <v>1</v>
      </c>
      <c r="J7" s="12">
        <v>0.963358540999252</v>
      </c>
      <c r="K7" s="11" t="s">
        <v>45</v>
      </c>
      <c r="L7" s="12">
        <v>1</v>
      </c>
      <c r="M7" s="12">
        <v>0</v>
      </c>
      <c r="N7" s="12">
        <v>4</v>
      </c>
      <c r="O7" s="12">
        <v>3</v>
      </c>
      <c r="P7" s="12">
        <v>7.5052465839999103</v>
      </c>
      <c r="Q7" s="13"/>
      <c r="R7" s="13"/>
      <c r="S7" s="13"/>
      <c r="T7" s="13"/>
      <c r="U7" s="13"/>
      <c r="V7" s="12">
        <v>7.4967754589997604</v>
      </c>
      <c r="W7" s="12">
        <v>7.5052465839999103</v>
      </c>
      <c r="X7" s="12">
        <v>7.9939095000008802</v>
      </c>
      <c r="Y7" s="12">
        <v>7.9939095000008802</v>
      </c>
      <c r="Z7" s="12">
        <v>7.9939095000008802</v>
      </c>
      <c r="AA7" s="12">
        <v>8.9624998750004998</v>
      </c>
      <c r="AB7" s="11" t="s">
        <v>50</v>
      </c>
      <c r="AC7" s="12">
        <v>1</v>
      </c>
      <c r="AD7" s="12">
        <v>0.963358540999252</v>
      </c>
      <c r="AE7" s="11" t="s">
        <v>45</v>
      </c>
      <c r="AF7" s="13"/>
      <c r="AG7" s="13"/>
      <c r="AH7" s="13"/>
      <c r="AI7" s="12">
        <v>57</v>
      </c>
      <c r="AJ7" s="12">
        <v>1</v>
      </c>
      <c r="AK7" s="11" t="s">
        <v>42</v>
      </c>
      <c r="AL7" s="11" t="s">
        <v>43</v>
      </c>
      <c r="AM7" s="13"/>
      <c r="AN7" s="11" t="s">
        <v>44</v>
      </c>
      <c r="AO7" s="11" t="s">
        <v>45</v>
      </c>
      <c r="AP7" s="11" t="s">
        <v>46</v>
      </c>
      <c r="AQ7" s="13"/>
    </row>
    <row r="8" spans="1:43" s="1" customFormat="1" ht="20" hidden="1" customHeight="1" x14ac:dyDescent="0.15">
      <c r="A8" s="9" t="s">
        <v>47</v>
      </c>
      <c r="B8" s="10" t="s">
        <v>48</v>
      </c>
      <c r="C8" s="11" t="s">
        <v>49</v>
      </c>
      <c r="D8" s="11" t="s">
        <v>50</v>
      </c>
      <c r="E8" s="12">
        <v>5</v>
      </c>
      <c r="F8" s="12">
        <v>1</v>
      </c>
      <c r="G8" s="12">
        <v>1</v>
      </c>
      <c r="H8" s="11" t="s">
        <v>50</v>
      </c>
      <c r="I8" s="12">
        <v>1</v>
      </c>
      <c r="J8" s="12">
        <v>1.6183213340009399</v>
      </c>
      <c r="K8" s="11" t="s">
        <v>45</v>
      </c>
      <c r="L8" s="12">
        <v>1</v>
      </c>
      <c r="M8" s="12">
        <v>1</v>
      </c>
      <c r="N8" s="12">
        <v>5</v>
      </c>
      <c r="O8" s="12">
        <v>1</v>
      </c>
      <c r="P8" s="12">
        <v>8.9754262919996108</v>
      </c>
      <c r="Q8" s="13"/>
      <c r="R8" s="13"/>
      <c r="S8" s="13"/>
      <c r="T8" s="13"/>
      <c r="U8" s="13"/>
      <c r="V8" s="12">
        <v>8.9669961250001506</v>
      </c>
      <c r="W8" s="12">
        <v>8.9754262919996108</v>
      </c>
      <c r="X8" s="12">
        <v>9.46074570900055</v>
      </c>
      <c r="Y8" s="12">
        <v>9.46074570900055</v>
      </c>
      <c r="Z8" s="12">
        <v>9.46074570900055</v>
      </c>
      <c r="AA8" s="12">
        <v>11.082306959000601</v>
      </c>
      <c r="AB8" s="11" t="s">
        <v>50</v>
      </c>
      <c r="AC8" s="12">
        <v>1</v>
      </c>
      <c r="AD8" s="12">
        <v>1.6183213340009399</v>
      </c>
      <c r="AE8" s="11" t="s">
        <v>45</v>
      </c>
      <c r="AF8" s="13"/>
      <c r="AG8" s="13"/>
      <c r="AH8" s="13"/>
      <c r="AI8" s="12">
        <v>57</v>
      </c>
      <c r="AJ8" s="12">
        <v>1</v>
      </c>
      <c r="AK8" s="11" t="s">
        <v>42</v>
      </c>
      <c r="AL8" s="11" t="s">
        <v>43</v>
      </c>
      <c r="AM8" s="13"/>
      <c r="AN8" s="11" t="s">
        <v>44</v>
      </c>
      <c r="AO8" s="11" t="s">
        <v>45</v>
      </c>
      <c r="AP8" s="11" t="s">
        <v>46</v>
      </c>
      <c r="AQ8" s="13"/>
    </row>
    <row r="9" spans="1:43" s="1" customFormat="1" ht="20" hidden="1" customHeight="1" x14ac:dyDescent="0.15">
      <c r="A9" s="9" t="s">
        <v>54</v>
      </c>
      <c r="B9" s="10" t="s">
        <v>51</v>
      </c>
      <c r="C9" s="11" t="s">
        <v>49</v>
      </c>
      <c r="D9" s="11" t="s">
        <v>53</v>
      </c>
      <c r="E9" s="12">
        <v>6</v>
      </c>
      <c r="F9" s="12">
        <v>2</v>
      </c>
      <c r="G9" s="12">
        <v>1</v>
      </c>
      <c r="H9" s="11" t="s">
        <v>53</v>
      </c>
      <c r="I9" s="12">
        <v>1</v>
      </c>
      <c r="J9" s="12">
        <v>1.8658027920009801</v>
      </c>
      <c r="K9" s="11" t="s">
        <v>45</v>
      </c>
      <c r="L9" s="12">
        <v>1</v>
      </c>
      <c r="M9" s="12">
        <v>2</v>
      </c>
      <c r="N9" s="12">
        <v>6</v>
      </c>
      <c r="O9" s="12">
        <v>2</v>
      </c>
      <c r="P9" s="12">
        <v>11.0947275420003</v>
      </c>
      <c r="Q9" s="13"/>
      <c r="R9" s="13"/>
      <c r="S9" s="13"/>
      <c r="T9" s="13"/>
      <c r="U9" s="13"/>
      <c r="V9" s="12">
        <v>11.0867429170012</v>
      </c>
      <c r="W9" s="12">
        <v>11.0947275420003</v>
      </c>
      <c r="X9" s="12">
        <v>11.5773194169997</v>
      </c>
      <c r="Y9" s="12">
        <v>11.5773194169997</v>
      </c>
      <c r="Z9" s="12">
        <v>11.5773194169997</v>
      </c>
      <c r="AA9" s="12">
        <v>13.4457995000012</v>
      </c>
      <c r="AB9" s="11" t="s">
        <v>53</v>
      </c>
      <c r="AC9" s="12">
        <v>1</v>
      </c>
      <c r="AD9" s="12">
        <v>1.8658027920009801</v>
      </c>
      <c r="AE9" s="11" t="s">
        <v>45</v>
      </c>
      <c r="AF9" s="13"/>
      <c r="AG9" s="13"/>
      <c r="AH9" s="13"/>
      <c r="AI9" s="12">
        <v>57</v>
      </c>
      <c r="AJ9" s="12">
        <v>1</v>
      </c>
      <c r="AK9" s="11" t="s">
        <v>42</v>
      </c>
      <c r="AL9" s="11" t="s">
        <v>43</v>
      </c>
      <c r="AM9" s="13"/>
      <c r="AN9" s="11" t="s">
        <v>44</v>
      </c>
      <c r="AO9" s="11" t="s">
        <v>45</v>
      </c>
      <c r="AP9" s="11" t="s">
        <v>46</v>
      </c>
      <c r="AQ9" s="13"/>
    </row>
    <row r="10" spans="1:43" s="1" customFormat="1" ht="20" customHeight="1" x14ac:dyDescent="0.15">
      <c r="A10" s="9" t="s">
        <v>47</v>
      </c>
      <c r="B10" s="10" t="s">
        <v>51</v>
      </c>
      <c r="C10" s="11" t="s">
        <v>52</v>
      </c>
      <c r="D10" s="11" t="s">
        <v>53</v>
      </c>
      <c r="E10" s="12">
        <v>7</v>
      </c>
      <c r="F10" s="12">
        <v>3</v>
      </c>
      <c r="G10" s="12">
        <v>1</v>
      </c>
      <c r="H10" s="11" t="s">
        <v>53</v>
      </c>
      <c r="I10" s="12">
        <v>1</v>
      </c>
      <c r="J10" s="12">
        <v>0.89615549999871302</v>
      </c>
      <c r="K10" s="11" t="s">
        <v>45</v>
      </c>
      <c r="L10" s="12">
        <v>1</v>
      </c>
      <c r="M10" s="12">
        <v>3</v>
      </c>
      <c r="N10" s="12">
        <v>7</v>
      </c>
      <c r="O10" s="12">
        <v>0</v>
      </c>
      <c r="P10" s="12">
        <v>13.461119542000199</v>
      </c>
      <c r="Q10" s="13"/>
      <c r="R10" s="13"/>
      <c r="S10" s="13"/>
      <c r="T10" s="13"/>
      <c r="U10" s="13"/>
      <c r="V10" s="12">
        <v>13.4502675839994</v>
      </c>
      <c r="W10" s="12">
        <v>13.461119542000199</v>
      </c>
      <c r="X10" s="12">
        <v>13.944020041999501</v>
      </c>
      <c r="Y10" s="12">
        <v>13.944020041999501</v>
      </c>
      <c r="Z10" s="12">
        <v>13.944020041999501</v>
      </c>
      <c r="AA10" s="12">
        <v>14.8464369169997</v>
      </c>
      <c r="AB10" s="11" t="s">
        <v>53</v>
      </c>
      <c r="AC10" s="12">
        <v>1</v>
      </c>
      <c r="AD10" s="12">
        <v>0.89615549999871302</v>
      </c>
      <c r="AE10" s="11" t="s">
        <v>45</v>
      </c>
      <c r="AF10" s="13"/>
      <c r="AG10" s="13"/>
      <c r="AH10" s="13"/>
      <c r="AI10" s="12">
        <v>57</v>
      </c>
      <c r="AJ10" s="12">
        <v>1</v>
      </c>
      <c r="AK10" s="11" t="s">
        <v>42</v>
      </c>
      <c r="AL10" s="11" t="s">
        <v>43</v>
      </c>
      <c r="AM10" s="13"/>
      <c r="AN10" s="11" t="s">
        <v>44</v>
      </c>
      <c r="AO10" s="11" t="s">
        <v>45</v>
      </c>
      <c r="AP10" s="11" t="s">
        <v>46</v>
      </c>
      <c r="AQ10" s="13"/>
    </row>
    <row r="11" spans="1:43" s="1" customFormat="1" ht="20" customHeight="1" x14ac:dyDescent="0.15">
      <c r="A11" s="9" t="s">
        <v>47</v>
      </c>
      <c r="B11" s="10" t="s">
        <v>51</v>
      </c>
      <c r="C11" s="11" t="s">
        <v>52</v>
      </c>
      <c r="D11" s="11" t="s">
        <v>53</v>
      </c>
      <c r="E11" s="12">
        <v>8</v>
      </c>
      <c r="F11" s="12">
        <v>0</v>
      </c>
      <c r="G11" s="12">
        <v>2</v>
      </c>
      <c r="H11" s="11" t="s">
        <v>53</v>
      </c>
      <c r="I11" s="12">
        <v>1</v>
      </c>
      <c r="J11" s="12">
        <v>0.69612008399963099</v>
      </c>
      <c r="K11" s="11" t="s">
        <v>45</v>
      </c>
      <c r="L11" s="12">
        <v>2</v>
      </c>
      <c r="M11" s="12">
        <v>0</v>
      </c>
      <c r="N11" s="12">
        <v>8</v>
      </c>
      <c r="O11" s="12">
        <v>0</v>
      </c>
      <c r="P11" s="12">
        <v>14.8570572919998</v>
      </c>
      <c r="Q11" s="13"/>
      <c r="R11" s="13"/>
      <c r="S11" s="13"/>
      <c r="T11" s="13"/>
      <c r="U11" s="13"/>
      <c r="V11" s="12">
        <v>14.847377000000099</v>
      </c>
      <c r="W11" s="12">
        <v>14.8570572919998</v>
      </c>
      <c r="X11" s="12">
        <v>15.3439992920012</v>
      </c>
      <c r="Y11" s="12">
        <v>15.3439992920012</v>
      </c>
      <c r="Z11" s="12">
        <v>15.3439992920012</v>
      </c>
      <c r="AA11" s="12">
        <v>16.046307459000701</v>
      </c>
      <c r="AB11" s="11" t="s">
        <v>53</v>
      </c>
      <c r="AC11" s="12">
        <v>1</v>
      </c>
      <c r="AD11" s="12">
        <v>0.69612008399963099</v>
      </c>
      <c r="AE11" s="11" t="s">
        <v>45</v>
      </c>
      <c r="AF11" s="13"/>
      <c r="AG11" s="13"/>
      <c r="AH11" s="13"/>
      <c r="AI11" s="12">
        <v>57</v>
      </c>
      <c r="AJ11" s="12">
        <v>1</v>
      </c>
      <c r="AK11" s="11" t="s">
        <v>42</v>
      </c>
      <c r="AL11" s="11" t="s">
        <v>43</v>
      </c>
      <c r="AM11" s="13"/>
      <c r="AN11" s="11" t="s">
        <v>44</v>
      </c>
      <c r="AO11" s="11" t="s">
        <v>45</v>
      </c>
      <c r="AP11" s="11" t="s">
        <v>46</v>
      </c>
      <c r="AQ11" s="13"/>
    </row>
    <row r="12" spans="1:43" s="1" customFormat="1" ht="20" customHeight="1" x14ac:dyDescent="0.15">
      <c r="A12" s="9" t="s">
        <v>54</v>
      </c>
      <c r="B12" s="10" t="s">
        <v>48</v>
      </c>
      <c r="C12" s="11" t="s">
        <v>52</v>
      </c>
      <c r="D12" s="11" t="s">
        <v>50</v>
      </c>
      <c r="E12" s="12">
        <v>9</v>
      </c>
      <c r="F12" s="12">
        <v>1</v>
      </c>
      <c r="G12" s="12">
        <v>2</v>
      </c>
      <c r="H12" s="11" t="s">
        <v>50</v>
      </c>
      <c r="I12" s="12">
        <v>1</v>
      </c>
      <c r="J12" s="12">
        <v>0.82090908399913998</v>
      </c>
      <c r="K12" s="11" t="s">
        <v>45</v>
      </c>
      <c r="L12" s="12">
        <v>2</v>
      </c>
      <c r="M12" s="12">
        <v>1</v>
      </c>
      <c r="N12" s="12">
        <v>9</v>
      </c>
      <c r="O12" s="12">
        <v>3</v>
      </c>
      <c r="P12" s="12">
        <v>16.060672875000801</v>
      </c>
      <c r="Q12" s="13"/>
      <c r="R12" s="13"/>
      <c r="S12" s="13"/>
      <c r="T12" s="13"/>
      <c r="U12" s="13"/>
      <c r="V12" s="12">
        <v>16.051821291999701</v>
      </c>
      <c r="W12" s="12">
        <v>16.060672875000801</v>
      </c>
      <c r="X12" s="12">
        <v>16.544096667001199</v>
      </c>
      <c r="Y12" s="12">
        <v>16.544096667001199</v>
      </c>
      <c r="Z12" s="12">
        <v>16.544096667001199</v>
      </c>
      <c r="AA12" s="12">
        <v>17.3670127500009</v>
      </c>
      <c r="AB12" s="11" t="s">
        <v>50</v>
      </c>
      <c r="AC12" s="12">
        <v>1</v>
      </c>
      <c r="AD12" s="12">
        <v>0.82090908399913998</v>
      </c>
      <c r="AE12" s="11" t="s">
        <v>45</v>
      </c>
      <c r="AF12" s="13"/>
      <c r="AG12" s="13"/>
      <c r="AH12" s="13"/>
      <c r="AI12" s="12">
        <v>57</v>
      </c>
      <c r="AJ12" s="12">
        <v>1</v>
      </c>
      <c r="AK12" s="11" t="s">
        <v>42</v>
      </c>
      <c r="AL12" s="11" t="s">
        <v>43</v>
      </c>
      <c r="AM12" s="13"/>
      <c r="AN12" s="11" t="s">
        <v>44</v>
      </c>
      <c r="AO12" s="11" t="s">
        <v>45</v>
      </c>
      <c r="AP12" s="11" t="s">
        <v>46</v>
      </c>
      <c r="AQ12" s="13"/>
    </row>
    <row r="13" spans="1:43" s="1" customFormat="1" ht="20" hidden="1" customHeight="1" x14ac:dyDescent="0.15">
      <c r="A13" s="9" t="s">
        <v>54</v>
      </c>
      <c r="B13" s="10" t="s">
        <v>51</v>
      </c>
      <c r="C13" s="11" t="s">
        <v>49</v>
      </c>
      <c r="D13" s="11" t="s">
        <v>53</v>
      </c>
      <c r="E13" s="12">
        <v>10</v>
      </c>
      <c r="F13" s="12">
        <v>2</v>
      </c>
      <c r="G13" s="12">
        <v>2</v>
      </c>
      <c r="H13" s="11" t="s">
        <v>53</v>
      </c>
      <c r="I13" s="12">
        <v>1</v>
      </c>
      <c r="J13" s="12">
        <v>0.70307441600016296</v>
      </c>
      <c r="K13" s="11" t="s">
        <v>45</v>
      </c>
      <c r="L13" s="12">
        <v>2</v>
      </c>
      <c r="M13" s="12">
        <v>2</v>
      </c>
      <c r="N13" s="12">
        <v>10</v>
      </c>
      <c r="O13" s="12">
        <v>2</v>
      </c>
      <c r="P13" s="12">
        <v>17.376794584000901</v>
      </c>
      <c r="Q13" s="13"/>
      <c r="R13" s="13"/>
      <c r="S13" s="13"/>
      <c r="T13" s="13"/>
      <c r="U13" s="13"/>
      <c r="V13" s="12">
        <v>17.367923292000299</v>
      </c>
      <c r="W13" s="12">
        <v>17.376794584000901</v>
      </c>
      <c r="X13" s="12">
        <v>17.865931959000601</v>
      </c>
      <c r="Y13" s="12">
        <v>17.865931959000601</v>
      </c>
      <c r="Z13" s="12">
        <v>17.865931959000601</v>
      </c>
      <c r="AA13" s="12">
        <v>18.579784584000699</v>
      </c>
      <c r="AB13" s="11" t="s">
        <v>53</v>
      </c>
      <c r="AC13" s="12">
        <v>1</v>
      </c>
      <c r="AD13" s="12">
        <v>0.70307441600016296</v>
      </c>
      <c r="AE13" s="11" t="s">
        <v>45</v>
      </c>
      <c r="AF13" s="13"/>
      <c r="AG13" s="13"/>
      <c r="AH13" s="13"/>
      <c r="AI13" s="12">
        <v>57</v>
      </c>
      <c r="AJ13" s="12">
        <v>1</v>
      </c>
      <c r="AK13" s="11" t="s">
        <v>42</v>
      </c>
      <c r="AL13" s="11" t="s">
        <v>43</v>
      </c>
      <c r="AM13" s="13"/>
      <c r="AN13" s="11" t="s">
        <v>44</v>
      </c>
      <c r="AO13" s="11" t="s">
        <v>45</v>
      </c>
      <c r="AP13" s="11" t="s">
        <v>46</v>
      </c>
      <c r="AQ13" s="13"/>
    </row>
    <row r="14" spans="1:43" s="1" customFormat="1" ht="20" hidden="1" customHeight="1" x14ac:dyDescent="0.15">
      <c r="A14" s="9" t="s">
        <v>47</v>
      </c>
      <c r="B14" s="10" t="s">
        <v>48</v>
      </c>
      <c r="C14" s="11" t="s">
        <v>49</v>
      </c>
      <c r="D14" s="11" t="s">
        <v>50</v>
      </c>
      <c r="E14" s="12">
        <v>11</v>
      </c>
      <c r="F14" s="12">
        <v>3</v>
      </c>
      <c r="G14" s="12">
        <v>2</v>
      </c>
      <c r="H14" s="11" t="s">
        <v>50</v>
      </c>
      <c r="I14" s="12">
        <v>1</v>
      </c>
      <c r="J14" s="12">
        <v>0.68770283300000301</v>
      </c>
      <c r="K14" s="11" t="s">
        <v>45</v>
      </c>
      <c r="L14" s="12">
        <v>2</v>
      </c>
      <c r="M14" s="12">
        <v>3</v>
      </c>
      <c r="N14" s="12">
        <v>11</v>
      </c>
      <c r="O14" s="12">
        <v>1</v>
      </c>
      <c r="P14" s="12">
        <v>18.591603791999699</v>
      </c>
      <c r="Q14" s="13"/>
      <c r="R14" s="13"/>
      <c r="S14" s="13"/>
      <c r="T14" s="13"/>
      <c r="U14" s="13"/>
      <c r="V14" s="12">
        <v>18.585063874999801</v>
      </c>
      <c r="W14" s="12">
        <v>18.591603791999699</v>
      </c>
      <c r="X14" s="12">
        <v>19.077231625000401</v>
      </c>
      <c r="Y14" s="12">
        <v>19.077231625000401</v>
      </c>
      <c r="Z14" s="12">
        <v>19.077231625000401</v>
      </c>
      <c r="AA14" s="12">
        <v>19.779105334000601</v>
      </c>
      <c r="AB14" s="11" t="s">
        <v>50</v>
      </c>
      <c r="AC14" s="12">
        <v>1</v>
      </c>
      <c r="AD14" s="12">
        <v>0.68770283300000301</v>
      </c>
      <c r="AE14" s="11" t="s">
        <v>45</v>
      </c>
      <c r="AF14" s="13"/>
      <c r="AG14" s="13"/>
      <c r="AH14" s="13"/>
      <c r="AI14" s="12">
        <v>57</v>
      </c>
      <c r="AJ14" s="12">
        <v>1</v>
      </c>
      <c r="AK14" s="11" t="s">
        <v>42</v>
      </c>
      <c r="AL14" s="11" t="s">
        <v>43</v>
      </c>
      <c r="AM14" s="13"/>
      <c r="AN14" s="11" t="s">
        <v>44</v>
      </c>
      <c r="AO14" s="11" t="s">
        <v>45</v>
      </c>
      <c r="AP14" s="11" t="s">
        <v>46</v>
      </c>
      <c r="AQ14" s="13"/>
    </row>
    <row r="15" spans="1:43" s="1" customFormat="1" ht="20" hidden="1" customHeight="1" x14ac:dyDescent="0.15">
      <c r="A15" s="9" t="s">
        <v>47</v>
      </c>
      <c r="B15" s="10" t="s">
        <v>48</v>
      </c>
      <c r="C15" s="11" t="s">
        <v>49</v>
      </c>
      <c r="D15" s="11" t="s">
        <v>50</v>
      </c>
      <c r="E15" s="12">
        <v>12</v>
      </c>
      <c r="F15" s="12">
        <v>0</v>
      </c>
      <c r="G15" s="12">
        <v>3</v>
      </c>
      <c r="H15" s="11" t="s">
        <v>50</v>
      </c>
      <c r="I15" s="12">
        <v>1</v>
      </c>
      <c r="J15" s="12">
        <v>0.63356316700083004</v>
      </c>
      <c r="K15" s="11" t="s">
        <v>45</v>
      </c>
      <c r="L15" s="12">
        <v>3</v>
      </c>
      <c r="M15" s="12">
        <v>0</v>
      </c>
      <c r="N15" s="12">
        <v>12</v>
      </c>
      <c r="O15" s="12">
        <v>1</v>
      </c>
      <c r="P15" s="12">
        <v>19.789078292000301</v>
      </c>
      <c r="Q15" s="13"/>
      <c r="R15" s="13"/>
      <c r="S15" s="13"/>
      <c r="T15" s="13"/>
      <c r="U15" s="13"/>
      <c r="V15" s="12">
        <v>19.780265792000101</v>
      </c>
      <c r="W15" s="12">
        <v>19.789078292000301</v>
      </c>
      <c r="X15" s="12">
        <v>20.277422250001099</v>
      </c>
      <c r="Y15" s="12">
        <v>20.277422250001099</v>
      </c>
      <c r="Z15" s="12">
        <v>20.277422250001099</v>
      </c>
      <c r="AA15" s="12">
        <v>20.9164549590005</v>
      </c>
      <c r="AB15" s="11" t="s">
        <v>50</v>
      </c>
      <c r="AC15" s="12">
        <v>1</v>
      </c>
      <c r="AD15" s="12">
        <v>0.63356316700083004</v>
      </c>
      <c r="AE15" s="11" t="s">
        <v>45</v>
      </c>
      <c r="AF15" s="13"/>
      <c r="AG15" s="13"/>
      <c r="AH15" s="13"/>
      <c r="AI15" s="12">
        <v>57</v>
      </c>
      <c r="AJ15" s="12">
        <v>1</v>
      </c>
      <c r="AK15" s="11" t="s">
        <v>42</v>
      </c>
      <c r="AL15" s="11" t="s">
        <v>43</v>
      </c>
      <c r="AM15" s="13"/>
      <c r="AN15" s="11" t="s">
        <v>44</v>
      </c>
      <c r="AO15" s="11" t="s">
        <v>45</v>
      </c>
      <c r="AP15" s="11" t="s">
        <v>46</v>
      </c>
      <c r="AQ15" s="13"/>
    </row>
    <row r="16" spans="1:43" s="1" customFormat="1" ht="20" customHeight="1" x14ac:dyDescent="0.15">
      <c r="A16" s="9" t="s">
        <v>54</v>
      </c>
      <c r="B16" s="10" t="s">
        <v>48</v>
      </c>
      <c r="C16" s="11" t="s">
        <v>52</v>
      </c>
      <c r="D16" s="11" t="s">
        <v>50</v>
      </c>
      <c r="E16" s="12">
        <v>13</v>
      </c>
      <c r="F16" s="12">
        <v>1</v>
      </c>
      <c r="G16" s="12">
        <v>3</v>
      </c>
      <c r="H16" s="11" t="s">
        <v>50</v>
      </c>
      <c r="I16" s="12">
        <v>1</v>
      </c>
      <c r="J16" s="12">
        <v>0.61923529100022301</v>
      </c>
      <c r="K16" s="11" t="s">
        <v>45</v>
      </c>
      <c r="L16" s="12">
        <v>3</v>
      </c>
      <c r="M16" s="12">
        <v>1</v>
      </c>
      <c r="N16" s="12">
        <v>13</v>
      </c>
      <c r="O16" s="12">
        <v>3</v>
      </c>
      <c r="P16" s="12">
        <v>20.930179417000499</v>
      </c>
      <c r="Q16" s="13"/>
      <c r="R16" s="13"/>
      <c r="S16" s="13"/>
      <c r="T16" s="13"/>
      <c r="U16" s="13"/>
      <c r="V16" s="12">
        <v>20.9206497089999</v>
      </c>
      <c r="W16" s="12">
        <v>20.930179417000499</v>
      </c>
      <c r="X16" s="12">
        <v>21.410596167001099</v>
      </c>
      <c r="Y16" s="12">
        <v>21.410596167001099</v>
      </c>
      <c r="Z16" s="12">
        <v>21.410596167001099</v>
      </c>
      <c r="AA16" s="12">
        <v>22.033522125000701</v>
      </c>
      <c r="AB16" s="11" t="s">
        <v>50</v>
      </c>
      <c r="AC16" s="12">
        <v>1</v>
      </c>
      <c r="AD16" s="12">
        <v>0.61923529100022301</v>
      </c>
      <c r="AE16" s="11" t="s">
        <v>45</v>
      </c>
      <c r="AF16" s="13"/>
      <c r="AG16" s="13"/>
      <c r="AH16" s="13"/>
      <c r="AI16" s="12">
        <v>57</v>
      </c>
      <c r="AJ16" s="12">
        <v>1</v>
      </c>
      <c r="AK16" s="11" t="s">
        <v>42</v>
      </c>
      <c r="AL16" s="11" t="s">
        <v>43</v>
      </c>
      <c r="AM16" s="13"/>
      <c r="AN16" s="11" t="s">
        <v>44</v>
      </c>
      <c r="AO16" s="11" t="s">
        <v>45</v>
      </c>
      <c r="AP16" s="11" t="s">
        <v>46</v>
      </c>
      <c r="AQ16" s="13"/>
    </row>
    <row r="17" spans="1:43" s="1" customFormat="1" ht="20" hidden="1" customHeight="1" x14ac:dyDescent="0.15">
      <c r="A17" s="9" t="s">
        <v>54</v>
      </c>
      <c r="B17" s="10" t="s">
        <v>51</v>
      </c>
      <c r="C17" s="11" t="s">
        <v>49</v>
      </c>
      <c r="D17" s="11" t="s">
        <v>53</v>
      </c>
      <c r="E17" s="12">
        <v>14</v>
      </c>
      <c r="F17" s="12">
        <v>2</v>
      </c>
      <c r="G17" s="12">
        <v>3</v>
      </c>
      <c r="H17" s="11" t="s">
        <v>53</v>
      </c>
      <c r="I17" s="12">
        <v>1</v>
      </c>
      <c r="J17" s="12">
        <v>0.74373358299999404</v>
      </c>
      <c r="K17" s="11" t="s">
        <v>45</v>
      </c>
      <c r="L17" s="12">
        <v>3</v>
      </c>
      <c r="M17" s="12">
        <v>2</v>
      </c>
      <c r="N17" s="12">
        <v>14</v>
      </c>
      <c r="O17" s="12">
        <v>2</v>
      </c>
      <c r="P17" s="12">
        <v>22.043277083999801</v>
      </c>
      <c r="Q17" s="13"/>
      <c r="R17" s="13"/>
      <c r="S17" s="13"/>
      <c r="T17" s="13"/>
      <c r="U17" s="13"/>
      <c r="V17" s="12">
        <v>22.034385667000599</v>
      </c>
      <c r="W17" s="12">
        <v>22.043277083999801</v>
      </c>
      <c r="X17" s="12">
        <v>22.527243374999699</v>
      </c>
      <c r="Y17" s="12">
        <v>22.527243374999699</v>
      </c>
      <c r="Z17" s="12">
        <v>22.527243374999699</v>
      </c>
      <c r="AA17" s="12">
        <v>23.278891375000999</v>
      </c>
      <c r="AB17" s="11" t="s">
        <v>53</v>
      </c>
      <c r="AC17" s="12">
        <v>1</v>
      </c>
      <c r="AD17" s="12">
        <v>0.74373358299999404</v>
      </c>
      <c r="AE17" s="11" t="s">
        <v>45</v>
      </c>
      <c r="AF17" s="13"/>
      <c r="AG17" s="13"/>
      <c r="AH17" s="13"/>
      <c r="AI17" s="12">
        <v>57</v>
      </c>
      <c r="AJ17" s="12">
        <v>1</v>
      </c>
      <c r="AK17" s="11" t="s">
        <v>42</v>
      </c>
      <c r="AL17" s="11" t="s">
        <v>43</v>
      </c>
      <c r="AM17" s="13"/>
      <c r="AN17" s="11" t="s">
        <v>44</v>
      </c>
      <c r="AO17" s="11" t="s">
        <v>45</v>
      </c>
      <c r="AP17" s="11" t="s">
        <v>46</v>
      </c>
      <c r="AQ17" s="13"/>
    </row>
    <row r="18" spans="1:43" s="1" customFormat="1" ht="20" customHeight="1" x14ac:dyDescent="0.15">
      <c r="A18" s="9" t="s">
        <v>47</v>
      </c>
      <c r="B18" s="10" t="s">
        <v>51</v>
      </c>
      <c r="C18" s="11" t="s">
        <v>52</v>
      </c>
      <c r="D18" s="11" t="s">
        <v>53</v>
      </c>
      <c r="E18" s="12">
        <v>15</v>
      </c>
      <c r="F18" s="12">
        <v>3</v>
      </c>
      <c r="G18" s="12">
        <v>3</v>
      </c>
      <c r="H18" s="11" t="s">
        <v>53</v>
      </c>
      <c r="I18" s="12">
        <v>1</v>
      </c>
      <c r="J18" s="12">
        <v>0.70770641699891701</v>
      </c>
      <c r="K18" s="11" t="s">
        <v>45</v>
      </c>
      <c r="L18" s="12">
        <v>3</v>
      </c>
      <c r="M18" s="12">
        <v>3</v>
      </c>
      <c r="N18" s="12">
        <v>15</v>
      </c>
      <c r="O18" s="12">
        <v>0</v>
      </c>
      <c r="P18" s="12">
        <v>23.2914153340007</v>
      </c>
      <c r="Q18" s="13"/>
      <c r="R18" s="13"/>
      <c r="S18" s="13"/>
      <c r="T18" s="13"/>
      <c r="U18" s="13"/>
      <c r="V18" s="12">
        <v>23.283030959000801</v>
      </c>
      <c r="W18" s="12">
        <v>23.2914153340007</v>
      </c>
      <c r="X18" s="12">
        <v>23.777220959000299</v>
      </c>
      <c r="Y18" s="12">
        <v>23.777220959000299</v>
      </c>
      <c r="Z18" s="12">
        <v>23.777220959000299</v>
      </c>
      <c r="AA18" s="12">
        <v>24.495446917000699</v>
      </c>
      <c r="AB18" s="11" t="s">
        <v>53</v>
      </c>
      <c r="AC18" s="12">
        <v>1</v>
      </c>
      <c r="AD18" s="12">
        <v>0.70770641699891701</v>
      </c>
      <c r="AE18" s="11" t="s">
        <v>45</v>
      </c>
      <c r="AF18" s="13"/>
      <c r="AG18" s="13"/>
      <c r="AH18" s="13"/>
      <c r="AI18" s="12">
        <v>57</v>
      </c>
      <c r="AJ18" s="12">
        <v>1</v>
      </c>
      <c r="AK18" s="11" t="s">
        <v>42</v>
      </c>
      <c r="AL18" s="11" t="s">
        <v>43</v>
      </c>
      <c r="AM18" s="13"/>
      <c r="AN18" s="11" t="s">
        <v>44</v>
      </c>
      <c r="AO18" s="11" t="s">
        <v>45</v>
      </c>
      <c r="AP18" s="11" t="s">
        <v>46</v>
      </c>
      <c r="AQ18" s="13"/>
    </row>
    <row r="19" spans="1:43" s="1" customFormat="1" ht="20" customHeight="1" x14ac:dyDescent="0.15">
      <c r="A19" s="9" t="s">
        <v>54</v>
      </c>
      <c r="B19" s="10" t="s">
        <v>48</v>
      </c>
      <c r="C19" s="11" t="s">
        <v>52</v>
      </c>
      <c r="D19" s="11" t="s">
        <v>50</v>
      </c>
      <c r="E19" s="12">
        <v>16</v>
      </c>
      <c r="F19" s="12">
        <v>0</v>
      </c>
      <c r="G19" s="12">
        <v>4</v>
      </c>
      <c r="H19" s="11" t="s">
        <v>50</v>
      </c>
      <c r="I19" s="12">
        <v>1</v>
      </c>
      <c r="J19" s="12">
        <v>0.79495287499958101</v>
      </c>
      <c r="K19" s="11" t="s">
        <v>45</v>
      </c>
      <c r="L19" s="12">
        <v>4</v>
      </c>
      <c r="M19" s="12">
        <v>0</v>
      </c>
      <c r="N19" s="12">
        <v>16</v>
      </c>
      <c r="O19" s="12">
        <v>3</v>
      </c>
      <c r="P19" s="12">
        <v>24.509321167001001</v>
      </c>
      <c r="Q19" s="13"/>
      <c r="R19" s="13"/>
      <c r="S19" s="13"/>
      <c r="T19" s="13"/>
      <c r="U19" s="13"/>
      <c r="V19" s="12">
        <v>24.5005225000004</v>
      </c>
      <c r="W19" s="12">
        <v>24.509321167001001</v>
      </c>
      <c r="X19" s="12">
        <v>24.993901584000898</v>
      </c>
      <c r="Y19" s="12">
        <v>24.993901584000898</v>
      </c>
      <c r="Z19" s="12">
        <v>24.993901584000898</v>
      </c>
      <c r="AA19" s="12">
        <v>25.796302541999498</v>
      </c>
      <c r="AB19" s="11" t="s">
        <v>50</v>
      </c>
      <c r="AC19" s="12">
        <v>1</v>
      </c>
      <c r="AD19" s="12">
        <v>0.79495287499958101</v>
      </c>
      <c r="AE19" s="11" t="s">
        <v>45</v>
      </c>
      <c r="AF19" s="13"/>
      <c r="AG19" s="13"/>
      <c r="AH19" s="13"/>
      <c r="AI19" s="12">
        <v>57</v>
      </c>
      <c r="AJ19" s="12">
        <v>1</v>
      </c>
      <c r="AK19" s="11" t="s">
        <v>42</v>
      </c>
      <c r="AL19" s="11" t="s">
        <v>43</v>
      </c>
      <c r="AM19" s="13"/>
      <c r="AN19" s="11" t="s">
        <v>44</v>
      </c>
      <c r="AO19" s="11" t="s">
        <v>45</v>
      </c>
      <c r="AP19" s="11" t="s">
        <v>46</v>
      </c>
      <c r="AQ19" s="13"/>
    </row>
    <row r="20" spans="1:43" s="1" customFormat="1" ht="20" customHeight="1" x14ac:dyDescent="0.15">
      <c r="A20" s="9" t="s">
        <v>47</v>
      </c>
      <c r="B20" s="10" t="s">
        <v>51</v>
      </c>
      <c r="C20" s="11" t="s">
        <v>52</v>
      </c>
      <c r="D20" s="11" t="s">
        <v>53</v>
      </c>
      <c r="E20" s="12">
        <v>17</v>
      </c>
      <c r="F20" s="12">
        <v>1</v>
      </c>
      <c r="G20" s="12">
        <v>4</v>
      </c>
      <c r="H20" s="11" t="s">
        <v>53</v>
      </c>
      <c r="I20" s="12">
        <v>1</v>
      </c>
      <c r="J20" s="12">
        <v>0.84380874999987998</v>
      </c>
      <c r="K20" s="11" t="s">
        <v>45</v>
      </c>
      <c r="L20" s="12">
        <v>4</v>
      </c>
      <c r="M20" s="12">
        <v>1</v>
      </c>
      <c r="N20" s="12">
        <v>17</v>
      </c>
      <c r="O20" s="12">
        <v>0</v>
      </c>
      <c r="P20" s="12">
        <v>25.8095776669998</v>
      </c>
      <c r="Q20" s="13"/>
      <c r="R20" s="13"/>
      <c r="S20" s="13"/>
      <c r="T20" s="13"/>
      <c r="U20" s="13"/>
      <c r="V20" s="12">
        <v>25.801160667000701</v>
      </c>
      <c r="W20" s="12">
        <v>25.8095776669998</v>
      </c>
      <c r="X20" s="12">
        <v>26.294014958999501</v>
      </c>
      <c r="Y20" s="12">
        <v>26.294014958999501</v>
      </c>
      <c r="Z20" s="12">
        <v>26.294014958999501</v>
      </c>
      <c r="AA20" s="12">
        <v>27.1455784589998</v>
      </c>
      <c r="AB20" s="11" t="s">
        <v>53</v>
      </c>
      <c r="AC20" s="12">
        <v>1</v>
      </c>
      <c r="AD20" s="12">
        <v>0.84380874999987998</v>
      </c>
      <c r="AE20" s="11" t="s">
        <v>45</v>
      </c>
      <c r="AF20" s="13"/>
      <c r="AG20" s="13"/>
      <c r="AH20" s="13"/>
      <c r="AI20" s="12">
        <v>57</v>
      </c>
      <c r="AJ20" s="12">
        <v>1</v>
      </c>
      <c r="AK20" s="11" t="s">
        <v>42</v>
      </c>
      <c r="AL20" s="11" t="s">
        <v>43</v>
      </c>
      <c r="AM20" s="13"/>
      <c r="AN20" s="11" t="s">
        <v>44</v>
      </c>
      <c r="AO20" s="11" t="s">
        <v>45</v>
      </c>
      <c r="AP20" s="11" t="s">
        <v>46</v>
      </c>
      <c r="AQ20" s="13"/>
    </row>
    <row r="21" spans="1:43" s="1" customFormat="1" ht="20" hidden="1" customHeight="1" x14ac:dyDescent="0.15">
      <c r="A21" s="9" t="s">
        <v>54</v>
      </c>
      <c r="B21" s="10" t="s">
        <v>51</v>
      </c>
      <c r="C21" s="11" t="s">
        <v>49</v>
      </c>
      <c r="D21" s="11" t="s">
        <v>53</v>
      </c>
      <c r="E21" s="12">
        <v>18</v>
      </c>
      <c r="F21" s="12">
        <v>2</v>
      </c>
      <c r="G21" s="12">
        <v>4</v>
      </c>
      <c r="H21" s="11" t="s">
        <v>53</v>
      </c>
      <c r="I21" s="12">
        <v>1</v>
      </c>
      <c r="J21" s="12">
        <v>0.929724917001295</v>
      </c>
      <c r="K21" s="11" t="s">
        <v>45</v>
      </c>
      <c r="L21" s="12">
        <v>4</v>
      </c>
      <c r="M21" s="12">
        <v>2</v>
      </c>
      <c r="N21" s="12">
        <v>18</v>
      </c>
      <c r="O21" s="12">
        <v>2</v>
      </c>
      <c r="P21" s="12">
        <v>27.159058749999499</v>
      </c>
      <c r="Q21" s="13"/>
      <c r="R21" s="13"/>
      <c r="S21" s="13"/>
      <c r="T21" s="13"/>
      <c r="U21" s="13"/>
      <c r="V21" s="12">
        <v>27.150561124999498</v>
      </c>
      <c r="W21" s="12">
        <v>27.159058749999499</v>
      </c>
      <c r="X21" s="12">
        <v>27.6440474589999</v>
      </c>
      <c r="Y21" s="12">
        <v>27.6440474589999</v>
      </c>
      <c r="Z21" s="12">
        <v>27.6440474589999</v>
      </c>
      <c r="AA21" s="12">
        <v>28.5799595000008</v>
      </c>
      <c r="AB21" s="11" t="s">
        <v>53</v>
      </c>
      <c r="AC21" s="12">
        <v>1</v>
      </c>
      <c r="AD21" s="12">
        <v>0.929724917001295</v>
      </c>
      <c r="AE21" s="11" t="s">
        <v>45</v>
      </c>
      <c r="AF21" s="13"/>
      <c r="AG21" s="13"/>
      <c r="AH21" s="13"/>
      <c r="AI21" s="12">
        <v>57</v>
      </c>
      <c r="AJ21" s="12">
        <v>1</v>
      </c>
      <c r="AK21" s="11" t="s">
        <v>42</v>
      </c>
      <c r="AL21" s="11" t="s">
        <v>43</v>
      </c>
      <c r="AM21" s="13"/>
      <c r="AN21" s="11" t="s">
        <v>44</v>
      </c>
      <c r="AO21" s="11" t="s">
        <v>45</v>
      </c>
      <c r="AP21" s="11" t="s">
        <v>46</v>
      </c>
      <c r="AQ21" s="13"/>
    </row>
    <row r="22" spans="1:43" s="1" customFormat="1" ht="20" hidden="1" customHeight="1" x14ac:dyDescent="0.15">
      <c r="A22" s="9" t="s">
        <v>47</v>
      </c>
      <c r="B22" s="10" t="s">
        <v>48</v>
      </c>
      <c r="C22" s="11" t="s">
        <v>49</v>
      </c>
      <c r="D22" s="11" t="s">
        <v>50</v>
      </c>
      <c r="E22" s="12">
        <v>19</v>
      </c>
      <c r="F22" s="12">
        <v>3</v>
      </c>
      <c r="G22" s="12">
        <v>4</v>
      </c>
      <c r="H22" s="11" t="s">
        <v>50</v>
      </c>
      <c r="I22" s="12">
        <v>1</v>
      </c>
      <c r="J22" s="12">
        <v>1.0323443750003201</v>
      </c>
      <c r="K22" s="11" t="s">
        <v>45</v>
      </c>
      <c r="L22" s="12">
        <v>4</v>
      </c>
      <c r="M22" s="12">
        <v>3</v>
      </c>
      <c r="N22" s="12">
        <v>19</v>
      </c>
      <c r="O22" s="12">
        <v>1</v>
      </c>
      <c r="P22" s="12">
        <v>28.593258417000499</v>
      </c>
      <c r="Q22" s="13"/>
      <c r="R22" s="13"/>
      <c r="S22" s="13"/>
      <c r="T22" s="13"/>
      <c r="U22" s="13"/>
      <c r="V22" s="12">
        <v>28.584646584000399</v>
      </c>
      <c r="W22" s="12">
        <v>28.593258417000499</v>
      </c>
      <c r="X22" s="12">
        <v>29.077335292000502</v>
      </c>
      <c r="Y22" s="12">
        <v>29.077335292000502</v>
      </c>
      <c r="Z22" s="12">
        <v>29.077335292000502</v>
      </c>
      <c r="AA22" s="12">
        <v>30.112753708999701</v>
      </c>
      <c r="AB22" s="11" t="s">
        <v>50</v>
      </c>
      <c r="AC22" s="12">
        <v>1</v>
      </c>
      <c r="AD22" s="12">
        <v>1.0323443750003201</v>
      </c>
      <c r="AE22" s="11" t="s">
        <v>45</v>
      </c>
      <c r="AF22" s="13"/>
      <c r="AG22" s="13"/>
      <c r="AH22" s="13"/>
      <c r="AI22" s="12">
        <v>57</v>
      </c>
      <c r="AJ22" s="12">
        <v>1</v>
      </c>
      <c r="AK22" s="11" t="s">
        <v>42</v>
      </c>
      <c r="AL22" s="11" t="s">
        <v>43</v>
      </c>
      <c r="AM22" s="13"/>
      <c r="AN22" s="11" t="s">
        <v>44</v>
      </c>
      <c r="AO22" s="11" t="s">
        <v>45</v>
      </c>
      <c r="AP22" s="11" t="s">
        <v>46</v>
      </c>
      <c r="AQ22" s="13"/>
    </row>
    <row r="23" spans="1:43" s="1" customFormat="1" ht="20" hidden="1" customHeight="1" x14ac:dyDescent="0.15">
      <c r="A23" s="9" t="s">
        <v>54</v>
      </c>
      <c r="B23" s="10" t="s">
        <v>51</v>
      </c>
      <c r="C23" s="11" t="s">
        <v>49</v>
      </c>
      <c r="D23" s="11" t="s">
        <v>53</v>
      </c>
      <c r="E23" s="12">
        <v>20</v>
      </c>
      <c r="F23" s="12">
        <v>0</v>
      </c>
      <c r="G23" s="12">
        <v>5</v>
      </c>
      <c r="H23" s="11" t="s">
        <v>53</v>
      </c>
      <c r="I23" s="12">
        <v>1</v>
      </c>
      <c r="J23" s="12">
        <v>0.85299095799928204</v>
      </c>
      <c r="K23" s="11" t="s">
        <v>45</v>
      </c>
      <c r="L23" s="12">
        <v>5</v>
      </c>
      <c r="M23" s="12">
        <v>0</v>
      </c>
      <c r="N23" s="12">
        <v>20</v>
      </c>
      <c r="O23" s="12">
        <v>2</v>
      </c>
      <c r="P23" s="12">
        <v>30.127420875000102</v>
      </c>
      <c r="Q23" s="13"/>
      <c r="R23" s="13"/>
      <c r="S23" s="13"/>
      <c r="T23" s="13"/>
      <c r="U23" s="13"/>
      <c r="V23" s="12">
        <v>30.118832125001099</v>
      </c>
      <c r="W23" s="12">
        <v>30.127420875000102</v>
      </c>
      <c r="X23" s="12">
        <v>30.6107136250012</v>
      </c>
      <c r="Y23" s="12">
        <v>30.6107136250012</v>
      </c>
      <c r="Z23" s="12">
        <v>30.6107136250012</v>
      </c>
      <c r="AA23" s="12">
        <v>31.4659363749997</v>
      </c>
      <c r="AB23" s="11" t="s">
        <v>53</v>
      </c>
      <c r="AC23" s="12">
        <v>1</v>
      </c>
      <c r="AD23" s="12">
        <v>0.85299095799928204</v>
      </c>
      <c r="AE23" s="11" t="s">
        <v>45</v>
      </c>
      <c r="AF23" s="13"/>
      <c r="AG23" s="13"/>
      <c r="AH23" s="13"/>
      <c r="AI23" s="12">
        <v>57</v>
      </c>
      <c r="AJ23" s="12">
        <v>1</v>
      </c>
      <c r="AK23" s="11" t="s">
        <v>42</v>
      </c>
      <c r="AL23" s="11" t="s">
        <v>43</v>
      </c>
      <c r="AM23" s="13"/>
      <c r="AN23" s="11" t="s">
        <v>44</v>
      </c>
      <c r="AO23" s="11" t="s">
        <v>45</v>
      </c>
      <c r="AP23" s="11" t="s">
        <v>46</v>
      </c>
      <c r="AQ23" s="13"/>
    </row>
    <row r="24" spans="1:43" s="1" customFormat="1" ht="20" customHeight="1" x14ac:dyDescent="0.15">
      <c r="A24" s="9" t="s">
        <v>47</v>
      </c>
      <c r="B24" s="10" t="s">
        <v>51</v>
      </c>
      <c r="C24" s="11" t="s">
        <v>52</v>
      </c>
      <c r="D24" s="11" t="s">
        <v>53</v>
      </c>
      <c r="E24" s="12">
        <v>21</v>
      </c>
      <c r="F24" s="12">
        <v>1</v>
      </c>
      <c r="G24" s="12">
        <v>5</v>
      </c>
      <c r="H24" s="11" t="s">
        <v>53</v>
      </c>
      <c r="I24" s="12">
        <v>1</v>
      </c>
      <c r="J24" s="12">
        <v>0.646197375001066</v>
      </c>
      <c r="K24" s="11" t="s">
        <v>45</v>
      </c>
      <c r="L24" s="12">
        <v>5</v>
      </c>
      <c r="M24" s="12">
        <v>1</v>
      </c>
      <c r="N24" s="12">
        <v>21</v>
      </c>
      <c r="O24" s="12">
        <v>0</v>
      </c>
      <c r="P24" s="12">
        <v>31.494167791999601</v>
      </c>
      <c r="Q24" s="13"/>
      <c r="R24" s="13"/>
      <c r="S24" s="13"/>
      <c r="T24" s="13"/>
      <c r="U24" s="13"/>
      <c r="V24" s="12">
        <v>31.470113625000501</v>
      </c>
      <c r="W24" s="12">
        <v>31.494167791999601</v>
      </c>
      <c r="X24" s="12">
        <v>31.960551416999799</v>
      </c>
      <c r="Y24" s="12">
        <v>31.960551416999799</v>
      </c>
      <c r="Z24" s="12">
        <v>31.960551416999799</v>
      </c>
      <c r="AA24" s="12">
        <v>32.612622709000803</v>
      </c>
      <c r="AB24" s="11" t="s">
        <v>53</v>
      </c>
      <c r="AC24" s="12">
        <v>1</v>
      </c>
      <c r="AD24" s="12">
        <v>0.646197375001066</v>
      </c>
      <c r="AE24" s="11" t="s">
        <v>45</v>
      </c>
      <c r="AF24" s="13"/>
      <c r="AG24" s="13"/>
      <c r="AH24" s="13"/>
      <c r="AI24" s="12">
        <v>57</v>
      </c>
      <c r="AJ24" s="12">
        <v>1</v>
      </c>
      <c r="AK24" s="11" t="s">
        <v>42</v>
      </c>
      <c r="AL24" s="11" t="s">
        <v>43</v>
      </c>
      <c r="AM24" s="13"/>
      <c r="AN24" s="11" t="s">
        <v>44</v>
      </c>
      <c r="AO24" s="11" t="s">
        <v>45</v>
      </c>
      <c r="AP24" s="11" t="s">
        <v>46</v>
      </c>
      <c r="AQ24" s="13"/>
    </row>
    <row r="25" spans="1:43" s="1" customFormat="1" ht="20" hidden="1" customHeight="1" x14ac:dyDescent="0.15">
      <c r="A25" s="9" t="s">
        <v>47</v>
      </c>
      <c r="B25" s="10" t="s">
        <v>48</v>
      </c>
      <c r="C25" s="11" t="s">
        <v>49</v>
      </c>
      <c r="D25" s="11" t="s">
        <v>50</v>
      </c>
      <c r="E25" s="12">
        <v>22</v>
      </c>
      <c r="F25" s="12">
        <v>2</v>
      </c>
      <c r="G25" s="12">
        <v>5</v>
      </c>
      <c r="H25" s="11" t="s">
        <v>50</v>
      </c>
      <c r="I25" s="12">
        <v>1</v>
      </c>
      <c r="J25" s="12">
        <v>0.70618124999964504</v>
      </c>
      <c r="K25" s="11" t="s">
        <v>45</v>
      </c>
      <c r="L25" s="12">
        <v>5</v>
      </c>
      <c r="M25" s="12">
        <v>2</v>
      </c>
      <c r="N25" s="12">
        <v>22</v>
      </c>
      <c r="O25" s="12">
        <v>1</v>
      </c>
      <c r="P25" s="12">
        <v>32.622556084001197</v>
      </c>
      <c r="Q25" s="13"/>
      <c r="R25" s="13"/>
      <c r="S25" s="13"/>
      <c r="T25" s="13"/>
      <c r="U25" s="13"/>
      <c r="V25" s="12">
        <v>32.613766917000298</v>
      </c>
      <c r="W25" s="12">
        <v>32.622556084001197</v>
      </c>
      <c r="X25" s="12">
        <v>33.110587834000398</v>
      </c>
      <c r="Y25" s="12">
        <v>33.110587834000398</v>
      </c>
      <c r="Z25" s="12">
        <v>33.110587834000398</v>
      </c>
      <c r="AA25" s="12">
        <v>33.828938500000703</v>
      </c>
      <c r="AB25" s="11" t="s">
        <v>50</v>
      </c>
      <c r="AC25" s="12">
        <v>1</v>
      </c>
      <c r="AD25" s="12">
        <v>0.70618124999964504</v>
      </c>
      <c r="AE25" s="11" t="s">
        <v>45</v>
      </c>
      <c r="AF25" s="13"/>
      <c r="AG25" s="13"/>
      <c r="AH25" s="13"/>
      <c r="AI25" s="12">
        <v>57</v>
      </c>
      <c r="AJ25" s="12">
        <v>1</v>
      </c>
      <c r="AK25" s="11" t="s">
        <v>42</v>
      </c>
      <c r="AL25" s="11" t="s">
        <v>43</v>
      </c>
      <c r="AM25" s="13"/>
      <c r="AN25" s="11" t="s">
        <v>44</v>
      </c>
      <c r="AO25" s="11" t="s">
        <v>45</v>
      </c>
      <c r="AP25" s="11" t="s">
        <v>46</v>
      </c>
      <c r="AQ25" s="13"/>
    </row>
    <row r="26" spans="1:43" s="1" customFormat="1" ht="20" customHeight="1" x14ac:dyDescent="0.15">
      <c r="A26" s="9" t="s">
        <v>54</v>
      </c>
      <c r="B26" s="10" t="s">
        <v>48</v>
      </c>
      <c r="C26" s="11" t="s">
        <v>52</v>
      </c>
      <c r="D26" s="11" t="s">
        <v>50</v>
      </c>
      <c r="E26" s="12">
        <v>23</v>
      </c>
      <c r="F26" s="12">
        <v>3</v>
      </c>
      <c r="G26" s="12">
        <v>5</v>
      </c>
      <c r="H26" s="11" t="s">
        <v>50</v>
      </c>
      <c r="I26" s="12">
        <v>1</v>
      </c>
      <c r="J26" s="12">
        <v>0.62237708300017403</v>
      </c>
      <c r="K26" s="11" t="s">
        <v>45</v>
      </c>
      <c r="L26" s="12">
        <v>5</v>
      </c>
      <c r="M26" s="12">
        <v>3</v>
      </c>
      <c r="N26" s="12">
        <v>23</v>
      </c>
      <c r="O26" s="12">
        <v>3</v>
      </c>
      <c r="P26" s="12">
        <v>33.842051167001003</v>
      </c>
      <c r="Q26" s="13"/>
      <c r="R26" s="13"/>
      <c r="S26" s="13"/>
      <c r="T26" s="13"/>
      <c r="U26" s="13"/>
      <c r="V26" s="12">
        <v>33.833696749999902</v>
      </c>
      <c r="W26" s="12">
        <v>33.842051167001003</v>
      </c>
      <c r="X26" s="12">
        <v>34.327289917000599</v>
      </c>
      <c r="Y26" s="12">
        <v>34.327289917000599</v>
      </c>
      <c r="Z26" s="12">
        <v>34.327289917000599</v>
      </c>
      <c r="AA26" s="12">
        <v>34.962428625000001</v>
      </c>
      <c r="AB26" s="11" t="s">
        <v>50</v>
      </c>
      <c r="AC26" s="12">
        <v>1</v>
      </c>
      <c r="AD26" s="12">
        <v>0.62237708300017403</v>
      </c>
      <c r="AE26" s="11" t="s">
        <v>45</v>
      </c>
      <c r="AF26" s="13"/>
      <c r="AG26" s="13"/>
      <c r="AH26" s="13"/>
      <c r="AI26" s="12">
        <v>57</v>
      </c>
      <c r="AJ26" s="12">
        <v>1</v>
      </c>
      <c r="AK26" s="11" t="s">
        <v>42</v>
      </c>
      <c r="AL26" s="11" t="s">
        <v>43</v>
      </c>
      <c r="AM26" s="13"/>
      <c r="AN26" s="11" t="s">
        <v>44</v>
      </c>
      <c r="AO26" s="11" t="s">
        <v>45</v>
      </c>
      <c r="AP26" s="11" t="s">
        <v>46</v>
      </c>
      <c r="AQ26" s="13"/>
    </row>
    <row r="27" spans="1:43" s="1" customFormat="1" ht="20" customHeight="1" x14ac:dyDescent="0.15">
      <c r="A27" s="9" t="s">
        <v>54</v>
      </c>
      <c r="B27" s="10" t="s">
        <v>48</v>
      </c>
      <c r="C27" s="11" t="s">
        <v>52</v>
      </c>
      <c r="D27" s="11" t="s">
        <v>50</v>
      </c>
      <c r="E27" s="12">
        <v>24</v>
      </c>
      <c r="F27" s="12">
        <v>0</v>
      </c>
      <c r="G27" s="12">
        <v>6</v>
      </c>
      <c r="H27" s="11" t="s">
        <v>50</v>
      </c>
      <c r="I27" s="12">
        <v>1</v>
      </c>
      <c r="J27" s="12">
        <v>0.49707216699971501</v>
      </c>
      <c r="K27" s="11" t="s">
        <v>45</v>
      </c>
      <c r="L27" s="12">
        <v>6</v>
      </c>
      <c r="M27" s="12">
        <v>0</v>
      </c>
      <c r="N27" s="12">
        <v>24</v>
      </c>
      <c r="O27" s="12">
        <v>3</v>
      </c>
      <c r="P27" s="12">
        <v>34.972088833999798</v>
      </c>
      <c r="Q27" s="13"/>
      <c r="R27" s="13"/>
      <c r="S27" s="13"/>
      <c r="T27" s="13"/>
      <c r="U27" s="13"/>
      <c r="V27" s="12">
        <v>34.963487291999598</v>
      </c>
      <c r="W27" s="12">
        <v>34.972088833999798</v>
      </c>
      <c r="X27" s="12">
        <v>35.460559167000604</v>
      </c>
      <c r="Y27" s="12">
        <v>35.460559167000604</v>
      </c>
      <c r="Z27" s="12">
        <v>35.460559167000604</v>
      </c>
      <c r="AA27" s="12">
        <v>35.962460124999801</v>
      </c>
      <c r="AB27" s="11" t="s">
        <v>50</v>
      </c>
      <c r="AC27" s="12">
        <v>1</v>
      </c>
      <c r="AD27" s="12">
        <v>0.49707216699971501</v>
      </c>
      <c r="AE27" s="11" t="s">
        <v>45</v>
      </c>
      <c r="AF27" s="13"/>
      <c r="AG27" s="13"/>
      <c r="AH27" s="13"/>
      <c r="AI27" s="12">
        <v>57</v>
      </c>
      <c r="AJ27" s="12">
        <v>1</v>
      </c>
      <c r="AK27" s="11" t="s">
        <v>42</v>
      </c>
      <c r="AL27" s="11" t="s">
        <v>43</v>
      </c>
      <c r="AM27" s="13"/>
      <c r="AN27" s="11" t="s">
        <v>44</v>
      </c>
      <c r="AO27" s="11" t="s">
        <v>45</v>
      </c>
      <c r="AP27" s="11" t="s">
        <v>46</v>
      </c>
      <c r="AQ27" s="13"/>
    </row>
    <row r="28" spans="1:43" s="1" customFormat="1" ht="20" hidden="1" customHeight="1" x14ac:dyDescent="0.15">
      <c r="A28" s="9" t="s">
        <v>54</v>
      </c>
      <c r="B28" s="10" t="s">
        <v>51</v>
      </c>
      <c r="C28" s="11" t="s">
        <v>49</v>
      </c>
      <c r="D28" s="11" t="s">
        <v>53</v>
      </c>
      <c r="E28" s="12">
        <v>25</v>
      </c>
      <c r="F28" s="12">
        <v>1</v>
      </c>
      <c r="G28" s="12">
        <v>6</v>
      </c>
      <c r="H28" s="11" t="s">
        <v>53</v>
      </c>
      <c r="I28" s="12">
        <v>1</v>
      </c>
      <c r="J28" s="12">
        <v>0.85894233300132306</v>
      </c>
      <c r="K28" s="11" t="s">
        <v>45</v>
      </c>
      <c r="L28" s="12">
        <v>6</v>
      </c>
      <c r="M28" s="12">
        <v>1</v>
      </c>
      <c r="N28" s="12">
        <v>25</v>
      </c>
      <c r="O28" s="12">
        <v>2</v>
      </c>
      <c r="P28" s="12">
        <v>35.972307500000198</v>
      </c>
      <c r="Q28" s="13"/>
      <c r="R28" s="13"/>
      <c r="S28" s="13"/>
      <c r="T28" s="13"/>
      <c r="U28" s="13"/>
      <c r="V28" s="12">
        <v>35.963620542001102</v>
      </c>
      <c r="W28" s="12">
        <v>35.972307500000198</v>
      </c>
      <c r="X28" s="12">
        <v>36.460700959</v>
      </c>
      <c r="Y28" s="12">
        <v>36.460700959</v>
      </c>
      <c r="Z28" s="12">
        <v>36.460700959</v>
      </c>
      <c r="AA28" s="12">
        <v>37.328994375000597</v>
      </c>
      <c r="AB28" s="11" t="s">
        <v>53</v>
      </c>
      <c r="AC28" s="12">
        <v>1</v>
      </c>
      <c r="AD28" s="12">
        <v>0.85894233300132306</v>
      </c>
      <c r="AE28" s="11" t="s">
        <v>45</v>
      </c>
      <c r="AF28" s="13"/>
      <c r="AG28" s="13"/>
      <c r="AH28" s="13"/>
      <c r="AI28" s="12">
        <v>57</v>
      </c>
      <c r="AJ28" s="12">
        <v>1</v>
      </c>
      <c r="AK28" s="11" t="s">
        <v>42</v>
      </c>
      <c r="AL28" s="11" t="s">
        <v>43</v>
      </c>
      <c r="AM28" s="13"/>
      <c r="AN28" s="11" t="s">
        <v>44</v>
      </c>
      <c r="AO28" s="11" t="s">
        <v>45</v>
      </c>
      <c r="AP28" s="11" t="s">
        <v>46</v>
      </c>
      <c r="AQ28" s="13"/>
    </row>
    <row r="29" spans="1:43" s="1" customFormat="1" ht="20" hidden="1" customHeight="1" x14ac:dyDescent="0.15">
      <c r="A29" s="9" t="s">
        <v>47</v>
      </c>
      <c r="B29" s="10" t="s">
        <v>48</v>
      </c>
      <c r="C29" s="11" t="s">
        <v>49</v>
      </c>
      <c r="D29" s="11" t="s">
        <v>50</v>
      </c>
      <c r="E29" s="12">
        <v>26</v>
      </c>
      <c r="F29" s="12">
        <v>2</v>
      </c>
      <c r="G29" s="12">
        <v>6</v>
      </c>
      <c r="H29" s="11" t="s">
        <v>50</v>
      </c>
      <c r="I29" s="12">
        <v>1</v>
      </c>
      <c r="J29" s="12">
        <v>0.82736737500090396</v>
      </c>
      <c r="K29" s="11" t="s">
        <v>45</v>
      </c>
      <c r="L29" s="12">
        <v>6</v>
      </c>
      <c r="M29" s="12">
        <v>2</v>
      </c>
      <c r="N29" s="12">
        <v>26</v>
      </c>
      <c r="O29" s="12">
        <v>1</v>
      </c>
      <c r="P29" s="12">
        <v>37.3423002090003</v>
      </c>
      <c r="Q29" s="13"/>
      <c r="R29" s="13"/>
      <c r="S29" s="13"/>
      <c r="T29" s="13"/>
      <c r="U29" s="13"/>
      <c r="V29" s="12">
        <v>37.333939459000298</v>
      </c>
      <c r="W29" s="12">
        <v>37.3423002090003</v>
      </c>
      <c r="X29" s="12">
        <v>37.827275208999701</v>
      </c>
      <c r="Y29" s="12">
        <v>37.827275208999701</v>
      </c>
      <c r="Z29" s="12">
        <v>37.827275208999701</v>
      </c>
      <c r="AA29" s="12">
        <v>38.662163334000098</v>
      </c>
      <c r="AB29" s="11" t="s">
        <v>50</v>
      </c>
      <c r="AC29" s="12">
        <v>1</v>
      </c>
      <c r="AD29" s="12">
        <v>0.82736737500090396</v>
      </c>
      <c r="AE29" s="11" t="s">
        <v>45</v>
      </c>
      <c r="AF29" s="13"/>
      <c r="AG29" s="13"/>
      <c r="AH29" s="13"/>
      <c r="AI29" s="12">
        <v>57</v>
      </c>
      <c r="AJ29" s="12">
        <v>1</v>
      </c>
      <c r="AK29" s="11" t="s">
        <v>42</v>
      </c>
      <c r="AL29" s="11" t="s">
        <v>43</v>
      </c>
      <c r="AM29" s="13"/>
      <c r="AN29" s="11" t="s">
        <v>44</v>
      </c>
      <c r="AO29" s="11" t="s">
        <v>45</v>
      </c>
      <c r="AP29" s="11" t="s">
        <v>46</v>
      </c>
      <c r="AQ29" s="13"/>
    </row>
    <row r="30" spans="1:43" s="1" customFormat="1" ht="20" customHeight="1" x14ac:dyDescent="0.15">
      <c r="A30" s="9" t="s">
        <v>47</v>
      </c>
      <c r="B30" s="10" t="s">
        <v>51</v>
      </c>
      <c r="C30" s="11" t="s">
        <v>52</v>
      </c>
      <c r="D30" s="11" t="s">
        <v>53</v>
      </c>
      <c r="E30" s="12">
        <v>27</v>
      </c>
      <c r="F30" s="12">
        <v>3</v>
      </c>
      <c r="G30" s="12">
        <v>6</v>
      </c>
      <c r="H30" s="11" t="s">
        <v>50</v>
      </c>
      <c r="I30" s="12">
        <v>0</v>
      </c>
      <c r="J30" s="12">
        <v>0.64690074999998604</v>
      </c>
      <c r="K30" s="11" t="s">
        <v>45</v>
      </c>
      <c r="L30" s="12">
        <v>6</v>
      </c>
      <c r="M30" s="12">
        <v>3</v>
      </c>
      <c r="N30" s="12">
        <v>27</v>
      </c>
      <c r="O30" s="12">
        <v>0</v>
      </c>
      <c r="P30" s="12">
        <v>38.671689167000302</v>
      </c>
      <c r="Q30" s="13"/>
      <c r="R30" s="13"/>
      <c r="S30" s="13"/>
      <c r="T30" s="13"/>
      <c r="U30" s="13"/>
      <c r="V30" s="12">
        <v>38.663061125000198</v>
      </c>
      <c r="W30" s="12">
        <v>38.671689167000302</v>
      </c>
      <c r="X30" s="12">
        <v>39.160611084000301</v>
      </c>
      <c r="Y30" s="12">
        <v>39.160611084000301</v>
      </c>
      <c r="Z30" s="12">
        <v>39.160611084000301</v>
      </c>
      <c r="AA30" s="12">
        <v>39.812397834000897</v>
      </c>
      <c r="AB30" s="11" t="s">
        <v>50</v>
      </c>
      <c r="AC30" s="12">
        <v>0</v>
      </c>
      <c r="AD30" s="12">
        <v>0.64690074999998604</v>
      </c>
      <c r="AE30" s="11" t="s">
        <v>45</v>
      </c>
      <c r="AF30" s="13"/>
      <c r="AG30" s="13"/>
      <c r="AH30" s="13"/>
      <c r="AI30" s="12">
        <v>57</v>
      </c>
      <c r="AJ30" s="12">
        <v>1</v>
      </c>
      <c r="AK30" s="11" t="s">
        <v>42</v>
      </c>
      <c r="AL30" s="11" t="s">
        <v>43</v>
      </c>
      <c r="AM30" s="13"/>
      <c r="AN30" s="11" t="s">
        <v>44</v>
      </c>
      <c r="AO30" s="11" t="s">
        <v>45</v>
      </c>
      <c r="AP30" s="11" t="s">
        <v>46</v>
      </c>
      <c r="AQ30" s="13"/>
    </row>
    <row r="31" spans="1:43" s="1" customFormat="1" ht="20" customHeight="1" x14ac:dyDescent="0.15">
      <c r="A31" s="9" t="s">
        <v>47</v>
      </c>
      <c r="B31" s="10" t="s">
        <v>51</v>
      </c>
      <c r="C31" s="11" t="s">
        <v>52</v>
      </c>
      <c r="D31" s="11" t="s">
        <v>53</v>
      </c>
      <c r="E31" s="12">
        <v>28</v>
      </c>
      <c r="F31" s="12">
        <v>0</v>
      </c>
      <c r="G31" s="12">
        <v>7</v>
      </c>
      <c r="H31" s="11" t="s">
        <v>53</v>
      </c>
      <c r="I31" s="12">
        <v>1</v>
      </c>
      <c r="J31" s="12">
        <v>1.6088260830001699</v>
      </c>
      <c r="K31" s="11" t="s">
        <v>45</v>
      </c>
      <c r="L31" s="12">
        <v>7</v>
      </c>
      <c r="M31" s="12">
        <v>0</v>
      </c>
      <c r="N31" s="12">
        <v>28</v>
      </c>
      <c r="O31" s="12">
        <v>0</v>
      </c>
      <c r="P31" s="12">
        <v>39.822314750001198</v>
      </c>
      <c r="Q31" s="13"/>
      <c r="R31" s="13"/>
      <c r="S31" s="13"/>
      <c r="T31" s="13"/>
      <c r="U31" s="13"/>
      <c r="V31" s="12">
        <v>39.813547625000901</v>
      </c>
      <c r="W31" s="12">
        <v>39.822314750001198</v>
      </c>
      <c r="X31" s="12">
        <v>40.310691167000201</v>
      </c>
      <c r="Y31" s="12">
        <v>40.310691167000201</v>
      </c>
      <c r="Z31" s="12">
        <v>40.310691167000201</v>
      </c>
      <c r="AA31" s="12">
        <v>41.928953167000103</v>
      </c>
      <c r="AB31" s="11" t="s">
        <v>53</v>
      </c>
      <c r="AC31" s="12">
        <v>1</v>
      </c>
      <c r="AD31" s="12">
        <v>1.6088260830001699</v>
      </c>
      <c r="AE31" s="11" t="s">
        <v>45</v>
      </c>
      <c r="AF31" s="13"/>
      <c r="AG31" s="13"/>
      <c r="AH31" s="13"/>
      <c r="AI31" s="12">
        <v>57</v>
      </c>
      <c r="AJ31" s="12">
        <v>1</v>
      </c>
      <c r="AK31" s="11" t="s">
        <v>42</v>
      </c>
      <c r="AL31" s="11" t="s">
        <v>43</v>
      </c>
      <c r="AM31" s="13"/>
      <c r="AN31" s="11" t="s">
        <v>44</v>
      </c>
      <c r="AO31" s="11" t="s">
        <v>45</v>
      </c>
      <c r="AP31" s="11" t="s">
        <v>46</v>
      </c>
      <c r="AQ31" s="13"/>
    </row>
    <row r="32" spans="1:43" s="1" customFormat="1" ht="20" hidden="1" customHeight="1" x14ac:dyDescent="0.15">
      <c r="A32" s="9" t="s">
        <v>47</v>
      </c>
      <c r="B32" s="10" t="s">
        <v>48</v>
      </c>
      <c r="C32" s="11" t="s">
        <v>49</v>
      </c>
      <c r="D32" s="11" t="s">
        <v>50</v>
      </c>
      <c r="E32" s="12">
        <v>29</v>
      </c>
      <c r="F32" s="12">
        <v>1</v>
      </c>
      <c r="G32" s="12">
        <v>7</v>
      </c>
      <c r="H32" s="11" t="s">
        <v>50</v>
      </c>
      <c r="I32" s="12">
        <v>1</v>
      </c>
      <c r="J32" s="12">
        <v>0.97935658400092496</v>
      </c>
      <c r="K32" s="11" t="s">
        <v>45</v>
      </c>
      <c r="L32" s="12">
        <v>7</v>
      </c>
      <c r="M32" s="12">
        <v>1</v>
      </c>
      <c r="N32" s="12">
        <v>29</v>
      </c>
      <c r="O32" s="12">
        <v>1</v>
      </c>
      <c r="P32" s="12">
        <v>41.9389488750003</v>
      </c>
      <c r="Q32" s="13"/>
      <c r="R32" s="13"/>
      <c r="S32" s="13"/>
      <c r="T32" s="13"/>
      <c r="U32" s="13"/>
      <c r="V32" s="12">
        <v>41.930116084000502</v>
      </c>
      <c r="W32" s="12">
        <v>41.9389488750003</v>
      </c>
      <c r="X32" s="12">
        <v>42.427166125000397</v>
      </c>
      <c r="Y32" s="12">
        <v>42.427166125000397</v>
      </c>
      <c r="Z32" s="12">
        <v>42.427166125000397</v>
      </c>
      <c r="AA32" s="12">
        <v>43.4123158750008</v>
      </c>
      <c r="AB32" s="11" t="s">
        <v>50</v>
      </c>
      <c r="AC32" s="12">
        <v>1</v>
      </c>
      <c r="AD32" s="12">
        <v>0.97935658400092496</v>
      </c>
      <c r="AE32" s="11" t="s">
        <v>45</v>
      </c>
      <c r="AF32" s="13"/>
      <c r="AG32" s="13"/>
      <c r="AH32" s="13"/>
      <c r="AI32" s="12">
        <v>57</v>
      </c>
      <c r="AJ32" s="12">
        <v>1</v>
      </c>
      <c r="AK32" s="11" t="s">
        <v>42</v>
      </c>
      <c r="AL32" s="11" t="s">
        <v>43</v>
      </c>
      <c r="AM32" s="13"/>
      <c r="AN32" s="11" t="s">
        <v>44</v>
      </c>
      <c r="AO32" s="11" t="s">
        <v>45</v>
      </c>
      <c r="AP32" s="11" t="s">
        <v>46</v>
      </c>
      <c r="AQ32" s="13"/>
    </row>
    <row r="33" spans="1:43" s="1" customFormat="1" ht="20" hidden="1" customHeight="1" x14ac:dyDescent="0.15">
      <c r="A33" s="9" t="s">
        <v>54</v>
      </c>
      <c r="B33" s="10" t="s">
        <v>51</v>
      </c>
      <c r="C33" s="11" t="s">
        <v>49</v>
      </c>
      <c r="D33" s="11" t="s">
        <v>53</v>
      </c>
      <c r="E33" s="12">
        <v>30</v>
      </c>
      <c r="F33" s="12">
        <v>2</v>
      </c>
      <c r="G33" s="12">
        <v>7</v>
      </c>
      <c r="H33" s="11" t="s">
        <v>53</v>
      </c>
      <c r="I33" s="12">
        <v>1</v>
      </c>
      <c r="J33" s="12">
        <v>0.68869325000014203</v>
      </c>
      <c r="K33" s="11" t="s">
        <v>45</v>
      </c>
      <c r="L33" s="12">
        <v>7</v>
      </c>
      <c r="M33" s="12">
        <v>2</v>
      </c>
      <c r="N33" s="12">
        <v>30</v>
      </c>
      <c r="O33" s="12">
        <v>2</v>
      </c>
      <c r="P33" s="12">
        <v>43.4254773749999</v>
      </c>
      <c r="Q33" s="13"/>
      <c r="R33" s="13"/>
      <c r="S33" s="13"/>
      <c r="T33" s="13"/>
      <c r="U33" s="13"/>
      <c r="V33" s="12">
        <v>43.417124999999899</v>
      </c>
      <c r="W33" s="12">
        <v>43.4254773749999</v>
      </c>
      <c r="X33" s="12">
        <v>43.910608624999398</v>
      </c>
      <c r="Y33" s="12">
        <v>43.910608624999398</v>
      </c>
      <c r="Z33" s="12">
        <v>43.910608624999398</v>
      </c>
      <c r="AA33" s="12">
        <v>44.612460709000501</v>
      </c>
      <c r="AB33" s="11" t="s">
        <v>53</v>
      </c>
      <c r="AC33" s="12">
        <v>1</v>
      </c>
      <c r="AD33" s="12">
        <v>0.68869325000014203</v>
      </c>
      <c r="AE33" s="11" t="s">
        <v>45</v>
      </c>
      <c r="AF33" s="13"/>
      <c r="AG33" s="13"/>
      <c r="AH33" s="13"/>
      <c r="AI33" s="12">
        <v>57</v>
      </c>
      <c r="AJ33" s="12">
        <v>1</v>
      </c>
      <c r="AK33" s="11" t="s">
        <v>42</v>
      </c>
      <c r="AL33" s="11" t="s">
        <v>43</v>
      </c>
      <c r="AM33" s="13"/>
      <c r="AN33" s="11" t="s">
        <v>44</v>
      </c>
      <c r="AO33" s="11" t="s">
        <v>45</v>
      </c>
      <c r="AP33" s="11" t="s">
        <v>46</v>
      </c>
      <c r="AQ33" s="13"/>
    </row>
    <row r="34" spans="1:43" s="1" customFormat="1" ht="20" customHeight="1" x14ac:dyDescent="0.15">
      <c r="A34" s="9" t="s">
        <v>54</v>
      </c>
      <c r="B34" s="10" t="s">
        <v>48</v>
      </c>
      <c r="C34" s="11" t="s">
        <v>52</v>
      </c>
      <c r="D34" s="11" t="s">
        <v>50</v>
      </c>
      <c r="E34" s="12">
        <v>31</v>
      </c>
      <c r="F34" s="12">
        <v>3</v>
      </c>
      <c r="G34" s="12">
        <v>7</v>
      </c>
      <c r="H34" s="11" t="s">
        <v>50</v>
      </c>
      <c r="I34" s="12">
        <v>1</v>
      </c>
      <c r="J34" s="12">
        <v>0.76770887500060803</v>
      </c>
      <c r="K34" s="11" t="s">
        <v>45</v>
      </c>
      <c r="L34" s="12">
        <v>7</v>
      </c>
      <c r="M34" s="12">
        <v>3</v>
      </c>
      <c r="N34" s="12">
        <v>31</v>
      </c>
      <c r="O34" s="12">
        <v>3</v>
      </c>
      <c r="P34" s="12">
        <v>44.622394</v>
      </c>
      <c r="Q34" s="13"/>
      <c r="R34" s="13"/>
      <c r="S34" s="13"/>
      <c r="T34" s="13"/>
      <c r="U34" s="13"/>
      <c r="V34" s="12">
        <v>44.613715584000602</v>
      </c>
      <c r="W34" s="12">
        <v>44.622394</v>
      </c>
      <c r="X34" s="12">
        <v>45.110555917001001</v>
      </c>
      <c r="Y34" s="12">
        <v>45.110555917001001</v>
      </c>
      <c r="Z34" s="12">
        <v>45.110555917001001</v>
      </c>
      <c r="AA34" s="12">
        <v>45.882195916999997</v>
      </c>
      <c r="AB34" s="11" t="s">
        <v>50</v>
      </c>
      <c r="AC34" s="12">
        <v>1</v>
      </c>
      <c r="AD34" s="12">
        <v>0.76770887500060803</v>
      </c>
      <c r="AE34" s="11" t="s">
        <v>45</v>
      </c>
      <c r="AF34" s="13"/>
      <c r="AG34" s="13"/>
      <c r="AH34" s="13"/>
      <c r="AI34" s="12">
        <v>57</v>
      </c>
      <c r="AJ34" s="12">
        <v>1</v>
      </c>
      <c r="AK34" s="11" t="s">
        <v>42</v>
      </c>
      <c r="AL34" s="11" t="s">
        <v>43</v>
      </c>
      <c r="AM34" s="13"/>
      <c r="AN34" s="11" t="s">
        <v>44</v>
      </c>
      <c r="AO34" s="11" t="s">
        <v>45</v>
      </c>
      <c r="AP34" s="11" t="s">
        <v>46</v>
      </c>
      <c r="AQ34" s="13"/>
    </row>
    <row r="35" spans="1:43" s="1" customFormat="1" ht="20" customHeight="1" x14ac:dyDescent="0.15">
      <c r="A35" s="9" t="s">
        <v>47</v>
      </c>
      <c r="B35" s="10" t="s">
        <v>51</v>
      </c>
      <c r="C35" s="11" t="s">
        <v>52</v>
      </c>
      <c r="D35" s="11" t="s">
        <v>53</v>
      </c>
      <c r="E35" s="12">
        <v>32</v>
      </c>
      <c r="F35" s="12">
        <v>0</v>
      </c>
      <c r="G35" s="12">
        <v>8</v>
      </c>
      <c r="H35" s="11" t="s">
        <v>53</v>
      </c>
      <c r="I35" s="12">
        <v>1</v>
      </c>
      <c r="J35" s="12">
        <v>0.56104312499883202</v>
      </c>
      <c r="K35" s="11" t="s">
        <v>45</v>
      </c>
      <c r="L35" s="12">
        <v>8</v>
      </c>
      <c r="M35" s="12">
        <v>0</v>
      </c>
      <c r="N35" s="12">
        <v>32</v>
      </c>
      <c r="O35" s="12">
        <v>0</v>
      </c>
      <c r="P35" s="12">
        <v>45.8942854590005</v>
      </c>
      <c r="Q35" s="13"/>
      <c r="R35" s="13"/>
      <c r="S35" s="13"/>
      <c r="T35" s="13"/>
      <c r="U35" s="13"/>
      <c r="V35" s="12">
        <v>45.886384125000397</v>
      </c>
      <c r="W35" s="12">
        <v>45.8942854590005</v>
      </c>
      <c r="X35" s="12">
        <v>46.384292791999499</v>
      </c>
      <c r="Y35" s="12">
        <v>46.384292791999499</v>
      </c>
      <c r="Z35" s="12">
        <v>46.384292791999499</v>
      </c>
      <c r="AA35" s="12">
        <v>46.9494621670001</v>
      </c>
      <c r="AB35" s="11" t="s">
        <v>53</v>
      </c>
      <c r="AC35" s="12">
        <v>1</v>
      </c>
      <c r="AD35" s="12">
        <v>0.56104312499883202</v>
      </c>
      <c r="AE35" s="11" t="s">
        <v>45</v>
      </c>
      <c r="AF35" s="13"/>
      <c r="AG35" s="13"/>
      <c r="AH35" s="13"/>
      <c r="AI35" s="12">
        <v>57</v>
      </c>
      <c r="AJ35" s="12">
        <v>1</v>
      </c>
      <c r="AK35" s="11" t="s">
        <v>42</v>
      </c>
      <c r="AL35" s="11" t="s">
        <v>43</v>
      </c>
      <c r="AM35" s="13"/>
      <c r="AN35" s="11" t="s">
        <v>44</v>
      </c>
      <c r="AO35" s="11" t="s">
        <v>45</v>
      </c>
      <c r="AP35" s="11" t="s">
        <v>46</v>
      </c>
      <c r="AQ35" s="13"/>
    </row>
    <row r="36" spans="1:43" s="1" customFormat="1" ht="20" hidden="1" customHeight="1" x14ac:dyDescent="0.15">
      <c r="A36" s="9" t="s">
        <v>47</v>
      </c>
      <c r="B36" s="10" t="s">
        <v>48</v>
      </c>
      <c r="C36" s="11" t="s">
        <v>49</v>
      </c>
      <c r="D36" s="11" t="s">
        <v>50</v>
      </c>
      <c r="E36" s="12">
        <v>33</v>
      </c>
      <c r="F36" s="12">
        <v>1</v>
      </c>
      <c r="G36" s="12">
        <v>8</v>
      </c>
      <c r="H36" s="11" t="s">
        <v>50</v>
      </c>
      <c r="I36" s="12">
        <v>1</v>
      </c>
      <c r="J36" s="12">
        <v>0.842381542001021</v>
      </c>
      <c r="K36" s="11" t="s">
        <v>45</v>
      </c>
      <c r="L36" s="12">
        <v>8</v>
      </c>
      <c r="M36" s="12">
        <v>1</v>
      </c>
      <c r="N36" s="12">
        <v>33</v>
      </c>
      <c r="O36" s="12">
        <v>1</v>
      </c>
      <c r="P36" s="12">
        <v>46.959621125000901</v>
      </c>
      <c r="Q36" s="13"/>
      <c r="R36" s="13"/>
      <c r="S36" s="13"/>
      <c r="T36" s="13"/>
      <c r="U36" s="13"/>
      <c r="V36" s="12">
        <v>46.950304084000898</v>
      </c>
      <c r="W36" s="12">
        <v>46.959621125000901</v>
      </c>
      <c r="X36" s="12">
        <v>47.449944250000001</v>
      </c>
      <c r="Y36" s="12">
        <v>47.449944250000001</v>
      </c>
      <c r="Z36" s="12">
        <v>47.449944250000001</v>
      </c>
      <c r="AA36" s="12">
        <v>48.296257916999799</v>
      </c>
      <c r="AB36" s="11" t="s">
        <v>50</v>
      </c>
      <c r="AC36" s="12">
        <v>1</v>
      </c>
      <c r="AD36" s="12">
        <v>0.842381542001021</v>
      </c>
      <c r="AE36" s="11" t="s">
        <v>45</v>
      </c>
      <c r="AF36" s="13"/>
      <c r="AG36" s="13"/>
      <c r="AH36" s="13"/>
      <c r="AI36" s="12">
        <v>57</v>
      </c>
      <c r="AJ36" s="12">
        <v>1</v>
      </c>
      <c r="AK36" s="11" t="s">
        <v>42</v>
      </c>
      <c r="AL36" s="11" t="s">
        <v>43</v>
      </c>
      <c r="AM36" s="13"/>
      <c r="AN36" s="11" t="s">
        <v>44</v>
      </c>
      <c r="AO36" s="11" t="s">
        <v>45</v>
      </c>
      <c r="AP36" s="11" t="s">
        <v>46</v>
      </c>
      <c r="AQ36" s="13"/>
    </row>
    <row r="37" spans="1:43" s="1" customFormat="1" ht="20" customHeight="1" x14ac:dyDescent="0.15">
      <c r="A37" s="9" t="s">
        <v>54</v>
      </c>
      <c r="B37" s="10" t="s">
        <v>48</v>
      </c>
      <c r="C37" s="11" t="s">
        <v>52</v>
      </c>
      <c r="D37" s="11" t="s">
        <v>50</v>
      </c>
      <c r="E37" s="12">
        <v>34</v>
      </c>
      <c r="F37" s="12">
        <v>2</v>
      </c>
      <c r="G37" s="12">
        <v>8</v>
      </c>
      <c r="H37" s="11" t="s">
        <v>50</v>
      </c>
      <c r="I37" s="12">
        <v>1</v>
      </c>
      <c r="J37" s="12">
        <v>0.60741629200128999</v>
      </c>
      <c r="K37" s="11" t="s">
        <v>45</v>
      </c>
      <c r="L37" s="12">
        <v>8</v>
      </c>
      <c r="M37" s="12">
        <v>2</v>
      </c>
      <c r="N37" s="12">
        <v>34</v>
      </c>
      <c r="O37" s="12">
        <v>3</v>
      </c>
      <c r="P37" s="12">
        <v>48.309820124999497</v>
      </c>
      <c r="Q37" s="13"/>
      <c r="R37" s="13"/>
      <c r="S37" s="13"/>
      <c r="T37" s="13"/>
      <c r="U37" s="13"/>
      <c r="V37" s="12">
        <v>48.301376167000903</v>
      </c>
      <c r="W37" s="12">
        <v>48.309820124999497</v>
      </c>
      <c r="X37" s="12">
        <v>48.7938900000008</v>
      </c>
      <c r="Y37" s="12">
        <v>48.7938900000008</v>
      </c>
      <c r="Z37" s="12">
        <v>48.7938900000008</v>
      </c>
      <c r="AA37" s="12">
        <v>49.412396375000803</v>
      </c>
      <c r="AB37" s="11" t="s">
        <v>50</v>
      </c>
      <c r="AC37" s="12">
        <v>1</v>
      </c>
      <c r="AD37" s="12">
        <v>0.60741629200128999</v>
      </c>
      <c r="AE37" s="11" t="s">
        <v>45</v>
      </c>
      <c r="AF37" s="13"/>
      <c r="AG37" s="13"/>
      <c r="AH37" s="13"/>
      <c r="AI37" s="12">
        <v>57</v>
      </c>
      <c r="AJ37" s="12">
        <v>1</v>
      </c>
      <c r="AK37" s="11" t="s">
        <v>42</v>
      </c>
      <c r="AL37" s="11" t="s">
        <v>43</v>
      </c>
      <c r="AM37" s="13"/>
      <c r="AN37" s="11" t="s">
        <v>44</v>
      </c>
      <c r="AO37" s="11" t="s">
        <v>45</v>
      </c>
      <c r="AP37" s="11" t="s">
        <v>46</v>
      </c>
      <c r="AQ37" s="13"/>
    </row>
    <row r="38" spans="1:43" s="1" customFormat="1" ht="20" hidden="1" customHeight="1" x14ac:dyDescent="0.15">
      <c r="A38" s="9" t="s">
        <v>54</v>
      </c>
      <c r="B38" s="10" t="s">
        <v>51</v>
      </c>
      <c r="C38" s="11" t="s">
        <v>49</v>
      </c>
      <c r="D38" s="11" t="s">
        <v>53</v>
      </c>
      <c r="E38" s="12">
        <v>35</v>
      </c>
      <c r="F38" s="12">
        <v>3</v>
      </c>
      <c r="G38" s="12">
        <v>8</v>
      </c>
      <c r="H38" s="11" t="s">
        <v>53</v>
      </c>
      <c r="I38" s="12">
        <v>1</v>
      </c>
      <c r="J38" s="12">
        <v>0.74280579100013699</v>
      </c>
      <c r="K38" s="11" t="s">
        <v>45</v>
      </c>
      <c r="L38" s="12">
        <v>8</v>
      </c>
      <c r="M38" s="12">
        <v>3</v>
      </c>
      <c r="N38" s="12">
        <v>35</v>
      </c>
      <c r="O38" s="12">
        <v>2</v>
      </c>
      <c r="P38" s="12">
        <v>49.422296459000798</v>
      </c>
      <c r="Q38" s="13"/>
      <c r="R38" s="13"/>
      <c r="S38" s="13"/>
      <c r="T38" s="13"/>
      <c r="U38" s="13"/>
      <c r="V38" s="12">
        <v>49.4135579169997</v>
      </c>
      <c r="W38" s="12">
        <v>49.422296459000798</v>
      </c>
      <c r="X38" s="12">
        <v>49.910546084000103</v>
      </c>
      <c r="Y38" s="12">
        <v>49.910546084000103</v>
      </c>
      <c r="Z38" s="12">
        <v>49.910546084000103</v>
      </c>
      <c r="AA38" s="12">
        <v>50.661855000000301</v>
      </c>
      <c r="AB38" s="11" t="s">
        <v>53</v>
      </c>
      <c r="AC38" s="12">
        <v>1</v>
      </c>
      <c r="AD38" s="12">
        <v>0.74280579100013699</v>
      </c>
      <c r="AE38" s="11" t="s">
        <v>45</v>
      </c>
      <c r="AF38" s="13"/>
      <c r="AG38" s="13"/>
      <c r="AH38" s="13"/>
      <c r="AI38" s="12">
        <v>57</v>
      </c>
      <c r="AJ38" s="12">
        <v>1</v>
      </c>
      <c r="AK38" s="11" t="s">
        <v>42</v>
      </c>
      <c r="AL38" s="11" t="s">
        <v>43</v>
      </c>
      <c r="AM38" s="13"/>
      <c r="AN38" s="11" t="s">
        <v>44</v>
      </c>
      <c r="AO38" s="11" t="s">
        <v>45</v>
      </c>
      <c r="AP38" s="11" t="s">
        <v>46</v>
      </c>
      <c r="AQ38" s="13"/>
    </row>
    <row r="39" spans="1:43" s="1" customFormat="1" ht="20" hidden="1" customHeight="1" x14ac:dyDescent="0.15">
      <c r="A39" s="9" t="s">
        <v>54</v>
      </c>
      <c r="B39" s="10" t="s">
        <v>51</v>
      </c>
      <c r="C39" s="11" t="s">
        <v>49</v>
      </c>
      <c r="D39" s="11" t="s">
        <v>53</v>
      </c>
      <c r="E39" s="12">
        <v>36</v>
      </c>
      <c r="F39" s="12">
        <v>0</v>
      </c>
      <c r="G39" s="12">
        <v>9</v>
      </c>
      <c r="H39" s="11" t="s">
        <v>53</v>
      </c>
      <c r="I39" s="12">
        <v>1</v>
      </c>
      <c r="J39" s="12">
        <v>0.88969316699876799</v>
      </c>
      <c r="K39" s="11" t="s">
        <v>45</v>
      </c>
      <c r="L39" s="12">
        <v>9</v>
      </c>
      <c r="M39" s="12">
        <v>0</v>
      </c>
      <c r="N39" s="12">
        <v>36</v>
      </c>
      <c r="O39" s="12">
        <v>2</v>
      </c>
      <c r="P39" s="12">
        <v>50.6715791669994</v>
      </c>
      <c r="Q39" s="13"/>
      <c r="R39" s="13"/>
      <c r="S39" s="13"/>
      <c r="T39" s="13"/>
      <c r="U39" s="13"/>
      <c r="V39" s="12">
        <v>50.662786584000102</v>
      </c>
      <c r="W39" s="12">
        <v>50.6715791669994</v>
      </c>
      <c r="X39" s="12">
        <v>51.160540541999602</v>
      </c>
      <c r="Y39" s="12">
        <v>51.160540541999602</v>
      </c>
      <c r="Z39" s="12">
        <v>51.160540541999602</v>
      </c>
      <c r="AA39" s="12">
        <v>52.062586375001104</v>
      </c>
      <c r="AB39" s="11" t="s">
        <v>53</v>
      </c>
      <c r="AC39" s="12">
        <v>1</v>
      </c>
      <c r="AD39" s="12">
        <v>0.88969316699876799</v>
      </c>
      <c r="AE39" s="11" t="s">
        <v>45</v>
      </c>
      <c r="AF39" s="13"/>
      <c r="AG39" s="13"/>
      <c r="AH39" s="13"/>
      <c r="AI39" s="12">
        <v>57</v>
      </c>
      <c r="AJ39" s="12">
        <v>1</v>
      </c>
      <c r="AK39" s="11" t="s">
        <v>42</v>
      </c>
      <c r="AL39" s="11" t="s">
        <v>43</v>
      </c>
      <c r="AM39" s="13"/>
      <c r="AN39" s="11" t="s">
        <v>44</v>
      </c>
      <c r="AO39" s="11" t="s">
        <v>45</v>
      </c>
      <c r="AP39" s="11" t="s">
        <v>46</v>
      </c>
      <c r="AQ39" s="13"/>
    </row>
    <row r="40" spans="1:43" s="1" customFormat="1" ht="20" hidden="1" customHeight="1" x14ac:dyDescent="0.15">
      <c r="A40" s="9" t="s">
        <v>47</v>
      </c>
      <c r="B40" s="10" t="s">
        <v>48</v>
      </c>
      <c r="C40" s="11" t="s">
        <v>49</v>
      </c>
      <c r="D40" s="11" t="s">
        <v>50</v>
      </c>
      <c r="E40" s="12">
        <v>37</v>
      </c>
      <c r="F40" s="12">
        <v>1</v>
      </c>
      <c r="G40" s="12">
        <v>9</v>
      </c>
      <c r="H40" s="11" t="s">
        <v>50</v>
      </c>
      <c r="I40" s="12">
        <v>1</v>
      </c>
      <c r="J40" s="12">
        <v>0.68480945900046197</v>
      </c>
      <c r="K40" s="11" t="s">
        <v>45</v>
      </c>
      <c r="L40" s="12">
        <v>9</v>
      </c>
      <c r="M40" s="12">
        <v>1</v>
      </c>
      <c r="N40" s="12">
        <v>37</v>
      </c>
      <c r="O40" s="12">
        <v>1</v>
      </c>
      <c r="P40" s="12">
        <v>52.075831709000298</v>
      </c>
      <c r="Q40" s="13"/>
      <c r="R40" s="13"/>
      <c r="S40" s="13"/>
      <c r="T40" s="13"/>
      <c r="U40" s="13"/>
      <c r="V40" s="12">
        <v>52.067220333999998</v>
      </c>
      <c r="W40" s="12">
        <v>52.075831709000298</v>
      </c>
      <c r="X40" s="12">
        <v>52.560440334000297</v>
      </c>
      <c r="Y40" s="12">
        <v>52.560440334000297</v>
      </c>
      <c r="Z40" s="12">
        <v>52.560440334000297</v>
      </c>
      <c r="AA40" s="12">
        <v>53.249746458999702</v>
      </c>
      <c r="AB40" s="11" t="s">
        <v>50</v>
      </c>
      <c r="AC40" s="12">
        <v>1</v>
      </c>
      <c r="AD40" s="12">
        <v>0.68480945900046197</v>
      </c>
      <c r="AE40" s="11" t="s">
        <v>45</v>
      </c>
      <c r="AF40" s="13"/>
      <c r="AG40" s="13"/>
      <c r="AH40" s="13"/>
      <c r="AI40" s="12">
        <v>57</v>
      </c>
      <c r="AJ40" s="12">
        <v>1</v>
      </c>
      <c r="AK40" s="11" t="s">
        <v>42</v>
      </c>
      <c r="AL40" s="11" t="s">
        <v>43</v>
      </c>
      <c r="AM40" s="13"/>
      <c r="AN40" s="11" t="s">
        <v>44</v>
      </c>
      <c r="AO40" s="11" t="s">
        <v>45</v>
      </c>
      <c r="AP40" s="11" t="s">
        <v>46</v>
      </c>
      <c r="AQ40" s="13"/>
    </row>
    <row r="41" spans="1:43" s="1" customFormat="1" ht="20" customHeight="1" x14ac:dyDescent="0.15">
      <c r="A41" s="9" t="s">
        <v>54</v>
      </c>
      <c r="B41" s="10" t="s">
        <v>48</v>
      </c>
      <c r="C41" s="11" t="s">
        <v>52</v>
      </c>
      <c r="D41" s="11" t="s">
        <v>50</v>
      </c>
      <c r="E41" s="12">
        <v>38</v>
      </c>
      <c r="F41" s="12">
        <v>2</v>
      </c>
      <c r="G41" s="12">
        <v>9</v>
      </c>
      <c r="H41" s="11" t="s">
        <v>50</v>
      </c>
      <c r="I41" s="12">
        <v>1</v>
      </c>
      <c r="J41" s="12">
        <v>0.76582504199905099</v>
      </c>
      <c r="K41" s="11" t="s">
        <v>45</v>
      </c>
      <c r="L41" s="12">
        <v>9</v>
      </c>
      <c r="M41" s="12">
        <v>2</v>
      </c>
      <c r="N41" s="12">
        <v>38</v>
      </c>
      <c r="O41" s="12">
        <v>3</v>
      </c>
      <c r="P41" s="12">
        <v>53.263292792000399</v>
      </c>
      <c r="Q41" s="13"/>
      <c r="R41" s="13"/>
      <c r="S41" s="13"/>
      <c r="T41" s="13"/>
      <c r="U41" s="13"/>
      <c r="V41" s="12">
        <v>53.254065000000999</v>
      </c>
      <c r="W41" s="12">
        <v>53.263292792000399</v>
      </c>
      <c r="X41" s="12">
        <v>53.751420624999803</v>
      </c>
      <c r="Y41" s="12">
        <v>53.751420624999803</v>
      </c>
      <c r="Z41" s="12">
        <v>53.751420624999803</v>
      </c>
      <c r="AA41" s="12">
        <v>54.5289626249996</v>
      </c>
      <c r="AB41" s="11" t="s">
        <v>50</v>
      </c>
      <c r="AC41" s="12">
        <v>1</v>
      </c>
      <c r="AD41" s="12">
        <v>0.76582504199905099</v>
      </c>
      <c r="AE41" s="11" t="s">
        <v>45</v>
      </c>
      <c r="AF41" s="13"/>
      <c r="AG41" s="13"/>
      <c r="AH41" s="13"/>
      <c r="AI41" s="12">
        <v>57</v>
      </c>
      <c r="AJ41" s="12">
        <v>1</v>
      </c>
      <c r="AK41" s="11" t="s">
        <v>42</v>
      </c>
      <c r="AL41" s="11" t="s">
        <v>43</v>
      </c>
      <c r="AM41" s="13"/>
      <c r="AN41" s="11" t="s">
        <v>44</v>
      </c>
      <c r="AO41" s="11" t="s">
        <v>45</v>
      </c>
      <c r="AP41" s="11" t="s">
        <v>46</v>
      </c>
      <c r="AQ41" s="13"/>
    </row>
    <row r="42" spans="1:43" s="1" customFormat="1" ht="20" customHeight="1" x14ac:dyDescent="0.15">
      <c r="A42" s="9" t="s">
        <v>47</v>
      </c>
      <c r="B42" s="10" t="s">
        <v>51</v>
      </c>
      <c r="C42" s="11" t="s">
        <v>52</v>
      </c>
      <c r="D42" s="11" t="s">
        <v>53</v>
      </c>
      <c r="E42" s="12">
        <v>39</v>
      </c>
      <c r="F42" s="12">
        <v>3</v>
      </c>
      <c r="G42" s="12">
        <v>9</v>
      </c>
      <c r="H42" s="11" t="s">
        <v>53</v>
      </c>
      <c r="I42" s="12">
        <v>1</v>
      </c>
      <c r="J42" s="12">
        <v>0.75911095899937198</v>
      </c>
      <c r="K42" s="11" t="s">
        <v>45</v>
      </c>
      <c r="L42" s="12">
        <v>9</v>
      </c>
      <c r="M42" s="12">
        <v>3</v>
      </c>
      <c r="N42" s="12">
        <v>39</v>
      </c>
      <c r="O42" s="12">
        <v>0</v>
      </c>
      <c r="P42" s="12">
        <v>54.541618499999501</v>
      </c>
      <c r="Q42" s="13"/>
      <c r="R42" s="13"/>
      <c r="S42" s="13"/>
      <c r="T42" s="13"/>
      <c r="U42" s="13"/>
      <c r="V42" s="12">
        <v>54.533170624999897</v>
      </c>
      <c r="W42" s="12">
        <v>54.541618499999501</v>
      </c>
      <c r="X42" s="12">
        <v>55.027117417001101</v>
      </c>
      <c r="Y42" s="12">
        <v>55.027117417001101</v>
      </c>
      <c r="Z42" s="12">
        <v>55.027117417001101</v>
      </c>
      <c r="AA42" s="12">
        <v>55.796343666999697</v>
      </c>
      <c r="AB42" s="11" t="s">
        <v>53</v>
      </c>
      <c r="AC42" s="12">
        <v>1</v>
      </c>
      <c r="AD42" s="12">
        <v>0.75911095899937198</v>
      </c>
      <c r="AE42" s="11" t="s">
        <v>45</v>
      </c>
      <c r="AF42" s="13"/>
      <c r="AG42" s="13"/>
      <c r="AH42" s="13"/>
      <c r="AI42" s="12">
        <v>57</v>
      </c>
      <c r="AJ42" s="12">
        <v>1</v>
      </c>
      <c r="AK42" s="11" t="s">
        <v>42</v>
      </c>
      <c r="AL42" s="11" t="s">
        <v>43</v>
      </c>
      <c r="AM42" s="13"/>
      <c r="AN42" s="11" t="s">
        <v>44</v>
      </c>
      <c r="AO42" s="11" t="s">
        <v>45</v>
      </c>
      <c r="AP42" s="11" t="s">
        <v>46</v>
      </c>
      <c r="AQ42" s="13"/>
    </row>
    <row r="43" spans="1:43" s="1" customFormat="1" ht="20" hidden="1" customHeight="1" x14ac:dyDescent="0.15">
      <c r="A43" s="14"/>
      <c r="B43" s="15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2">
        <v>55.851313667000802</v>
      </c>
      <c r="AG43" s="12">
        <v>55.854739874999701</v>
      </c>
      <c r="AH43" s="12">
        <v>56.798118459000797</v>
      </c>
      <c r="AI43" s="12">
        <v>57</v>
      </c>
      <c r="AJ43" s="12">
        <v>1</v>
      </c>
      <c r="AK43" s="11" t="s">
        <v>42</v>
      </c>
      <c r="AL43" s="11" t="s">
        <v>43</v>
      </c>
      <c r="AM43" s="13"/>
      <c r="AN43" s="11" t="s">
        <v>44</v>
      </c>
      <c r="AO43" s="11" t="s">
        <v>45</v>
      </c>
      <c r="AP43" s="11" t="s">
        <v>46</v>
      </c>
      <c r="AQ43" s="13"/>
    </row>
    <row r="44" spans="1:43" hidden="1" x14ac:dyDescent="0.15"/>
    <row r="45" spans="1:43" hidden="1" x14ac:dyDescent="0.15"/>
    <row r="46" spans="1:43" ht="14" hidden="1" x14ac:dyDescent="0.15">
      <c r="A46" s="16" t="s">
        <v>55</v>
      </c>
    </row>
    <row r="49" spans="1:2" ht="14" x14ac:dyDescent="0.15">
      <c r="A49" s="16" t="s">
        <v>55</v>
      </c>
      <c r="B49">
        <f>AVERAGE(J4:J42)</f>
        <v>0.8409559103334362</v>
      </c>
    </row>
    <row r="50" spans="1:2" ht="14" x14ac:dyDescent="0.15">
      <c r="A50" s="16" t="s">
        <v>56</v>
      </c>
      <c r="B50">
        <f>AVERAGE(J3:J40)</f>
        <v>0.86539869194750374</v>
      </c>
    </row>
    <row r="51" spans="1:2" ht="14" x14ac:dyDescent="0.15">
      <c r="A51" s="16" t="s">
        <v>57</v>
      </c>
      <c r="B51">
        <f>B50-B49</f>
        <v>2.4442781614067544E-2</v>
      </c>
    </row>
    <row r="52" spans="1:2" x14ac:dyDescent="0.15">
      <c r="B52">
        <f>B51*1000</f>
        <v>24.442781614067542</v>
      </c>
    </row>
    <row r="54" spans="1:2" ht="14" x14ac:dyDescent="0.15">
      <c r="A54" s="16" t="s">
        <v>59</v>
      </c>
      <c r="B54">
        <f>STDEV(J4:J42)</f>
        <v>0.28120106900822589</v>
      </c>
    </row>
    <row r="55" spans="1:2" ht="14" x14ac:dyDescent="0.15">
      <c r="A55" s="16" t="s">
        <v>58</v>
      </c>
      <c r="B55">
        <f>STDEV(J3:J40)</f>
        <v>0.31042775538737516</v>
      </c>
    </row>
    <row r="56" spans="1:2" ht="14" x14ac:dyDescent="0.15">
      <c r="A56" s="16" t="s">
        <v>60</v>
      </c>
      <c r="B56">
        <f>B54/SQRT((20))</f>
        <v>6.287847056480024E-2</v>
      </c>
    </row>
    <row r="57" spans="1:2" ht="14" x14ac:dyDescent="0.15">
      <c r="A57" s="16" t="s">
        <v>61</v>
      </c>
      <c r="B57">
        <f>B55/SQRT((20))</f>
        <v>6.9413756314884736E-2</v>
      </c>
    </row>
  </sheetData>
  <autoFilter ref="C1:C46" xr:uid="{6C0AE59F-D338-8344-8C5C-5B691AAB56C2}">
    <filterColumn colId="0">
      <filters>
        <filter val="C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charvithakkar13@gmail.com</cp:lastModifiedBy>
  <dcterms:modified xsi:type="dcterms:W3CDTF">2025-08-26T06:50:38Z</dcterms:modified>
</cp:coreProperties>
</file>