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A200C4B8-F742-6C4B-AEE9-645B3FB0AE63}" xr6:coauthVersionLast="47" xr6:coauthVersionMax="47" xr10:uidLastSave="{00000000-0000-0000-0000-000000000000}"/>
  <bookViews>
    <workbookView xWindow="4300" yWindow="860" windowWidth="29900" windowHeight="21380" activeTab="12" xr2:uid="{00000000-000D-0000-FFFF-FFFF00000000}"/>
  </bookViews>
  <sheets>
    <sheet name="1 sleep" sheetId="13" r:id="rId1"/>
    <sheet name="1.1 sleep" sheetId="2" r:id="rId2"/>
    <sheet name="2 sleep" sheetId="3" r:id="rId3"/>
    <sheet name="2.1 sleep" sheetId="4" r:id="rId4"/>
    <sheet name="3" sheetId="5" r:id="rId5"/>
    <sheet name="3.1" sheetId="6" r:id="rId6"/>
    <sheet name="4" sheetId="7" r:id="rId7"/>
    <sheet name="4.1" sheetId="8" r:id="rId8"/>
    <sheet name="5" sheetId="9" r:id="rId9"/>
    <sheet name="5.1" sheetId="10" r:id="rId10"/>
    <sheet name="6 sleep" sheetId="11" r:id="rId11"/>
    <sheet name="6.1 sleep" sheetId="12" r:id="rId12"/>
    <sheet name="compiled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2" l="1"/>
  <c r="M53" i="10"/>
  <c r="M53" i="8"/>
  <c r="M53" i="6"/>
  <c r="M54" i="4"/>
  <c r="M51" i="12"/>
  <c r="M49" i="12"/>
  <c r="M48" i="12"/>
  <c r="M51" i="11"/>
  <c r="M49" i="11"/>
  <c r="M48" i="11"/>
  <c r="M51" i="10"/>
  <c r="M49" i="10"/>
  <c r="M48" i="10"/>
  <c r="M51" i="9"/>
  <c r="M49" i="9"/>
  <c r="M48" i="9"/>
  <c r="M51" i="8"/>
  <c r="M49" i="8"/>
  <c r="M48" i="8"/>
  <c r="M51" i="7"/>
  <c r="M49" i="7"/>
  <c r="M48" i="7"/>
  <c r="M51" i="6"/>
  <c r="M49" i="6"/>
  <c r="M48" i="6"/>
  <c r="M48" i="3"/>
  <c r="M51" i="5"/>
  <c r="M49" i="5"/>
  <c r="M48" i="5"/>
  <c r="M51" i="4"/>
  <c r="M49" i="4"/>
  <c r="M48" i="4"/>
  <c r="M51" i="3"/>
  <c r="M49" i="3"/>
  <c r="M51" i="2"/>
  <c r="M49" i="2"/>
  <c r="M48" i="2"/>
  <c r="M52" i="13"/>
  <c r="M50" i="13"/>
  <c r="M49" i="13"/>
</calcChain>
</file>

<file path=xl/sharedStrings.xml><?xml version="1.0" encoding="utf-8"?>
<sst xmlns="http://schemas.openxmlformats.org/spreadsheetml/2006/main" count="9362" uniqueCount="660">
  <si>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</si>
  <si>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</si>
  <si>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</si>
  <si>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</si>
  <si>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</si>
  <si>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</si>
  <si>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</si>
  <si>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</si>
  <si>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</si>
  <si>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</si>
  <si>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</si>
  <si>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</si>
  <si>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</si>
  <si>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</si>
  <si>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</si>
  <si>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</si>
  <si>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</si>
  <si>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</si>
  <si>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</si>
  <si>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</si>
  <si>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</si>
  <si>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</si>
  <si>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</si>
  <si>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</si>
  <si>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</si>
  <si>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</si>
  <si>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</si>
  <si>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</si>
  <si>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</si>
  <si>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</si>
  <si>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</si>
  <si>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</si>
  <si>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</si>
  <si>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Test_Phase.started</t>
  </si>
  <si>
    <t>TestText.started</t>
  </si>
  <si>
    <t>test_textbox.started</t>
  </si>
  <si>
    <t>submit_text.started</t>
  </si>
  <si>
    <t>testmouse.started</t>
  </si>
  <si>
    <t>Test_Phase.stopped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</si>
  <si>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</si>
  <si>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</si>
  <si>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</si>
  <si>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</si>
  <si>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</si>
  <si>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</si>
  <si>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</si>
  <si>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</si>
  <si>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TestText.stopped</t>
  </si>
  <si>
    <t>test_textbox.stopped</t>
  </si>
  <si>
    <t>submit_text.stopped</t>
  </si>
  <si>
    <t>testmouse.stopped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</si>
  <si>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</si>
  <si>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</si>
  <si>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</si>
  <si>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</si>
  <si>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</si>
  <si>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</si>
  <si>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</si>
  <si>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</si>
  <si>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audacious</t>
  </si>
  <si>
    <t>2025-11-08_23h53.41.348</t>
  </si>
  <si>
    <t>word_priming_sp</t>
  </si>
  <si>
    <t>2025.1.1</t>
  </si>
  <si>
    <t>2025-11-08 23h53.47.999473 +0530</t>
  </si>
  <si>
    <t>parsimony</t>
  </si>
  <si>
    <t>parlance</t>
  </si>
  <si>
    <t>carpet</t>
  </si>
  <si>
    <t>cacophony</t>
  </si>
  <si>
    <t>esoteric</t>
  </si>
  <si>
    <t>minimum</t>
  </si>
  <si>
    <t>sandwich</t>
  </si>
  <si>
    <t>vicarious</t>
  </si>
  <si>
    <t>book</t>
  </si>
  <si>
    <t>beguile</t>
  </si>
  <si>
    <t>alluvium</t>
  </si>
  <si>
    <t>whilst</t>
  </si>
  <si>
    <t>laughter</t>
  </si>
  <si>
    <t>quill</t>
  </si>
  <si>
    <t>booth</t>
  </si>
  <si>
    <t>memory</t>
  </si>
  <si>
    <t>insipid</t>
  </si>
  <si>
    <t>hose</t>
  </si>
  <si>
    <t>cruise</t>
  </si>
  <si>
    <t>_ru_s_</t>
  </si>
  <si>
    <t>old</t>
  </si>
  <si>
    <t>[np.float64(-0.044964028776978415)]</t>
  </si>
  <si>
    <t>[np.float64(-0.30035971223021585)]</t>
  </si>
  <si>
    <t>[1]</t>
  </si>
  <si>
    <t>[0]</t>
  </si>
  <si>
    <t>[5.44765574997291]</t>
  </si>
  <si>
    <t>['submit_text']</t>
  </si>
  <si>
    <t>_i_a _io_s</t>
  </si>
  <si>
    <t>ei</t>
  </si>
  <si>
    <t>[]</t>
  </si>
  <si>
    <t>_en_il</t>
  </si>
  <si>
    <t>pencil</t>
  </si>
  <si>
    <t>new</t>
  </si>
  <si>
    <t>[np.float64(0.019784172661870502)]</t>
  </si>
  <si>
    <t>[np.float64(-0.302158273381295)]</t>
  </si>
  <si>
    <t>[6.144047166919336]</t>
  </si>
  <si>
    <t>e_o_ _r_c</t>
  </si>
  <si>
    <t>[np.float64(0.006294964028776978)]</t>
  </si>
  <si>
    <t>[np.float64(-0.2994604316546763)]</t>
  </si>
  <si>
    <t>[5.6182179159950465]</t>
  </si>
  <si>
    <t>sa_d_ _ c_</t>
  </si>
  <si>
    <t>sandwhich</t>
  </si>
  <si>
    <t>c_m_r_</t>
  </si>
  <si>
    <t>camera</t>
  </si>
  <si>
    <t>[np.float64(0.08273381294964029), np.float64(0.05485611510791367)]</t>
  </si>
  <si>
    <t>[np.float64(-0.24280575539568344), np.float64(-0.3129496402877698)]</t>
  </si>
  <si>
    <t>[1, 1]</t>
  </si>
  <si>
    <t>[0, 0]</t>
  </si>
  <si>
    <t>[4.49948504101485, 5.381624165922403]</t>
  </si>
  <si>
    <t>[None, 'submit_text']</t>
  </si>
  <si>
    <t>b_gu_l_</t>
  </si>
  <si>
    <t>[np.float64(0.05485611510791367)]</t>
  </si>
  <si>
    <t>[np.float64(-0.31384892086330934)]</t>
  </si>
  <si>
    <t>[4.3649273328483105]</t>
  </si>
  <si>
    <t>_h_ls_</t>
  </si>
  <si>
    <t>[4.979707333026454]</t>
  </si>
  <si>
    <t>o_sc_r_</t>
  </si>
  <si>
    <t>obscure</t>
  </si>
  <si>
    <t>[4.298369958996773]</t>
  </si>
  <si>
    <t>_oo_h</t>
  </si>
  <si>
    <t>[3.3468433341477066]</t>
  </si>
  <si>
    <t>_a_l_nc_</t>
  </si>
  <si>
    <t>[np.float64(0.0737410071942446)]</t>
  </si>
  <si>
    <t>[np.float64(-0.3120503597122302)]</t>
  </si>
  <si>
    <t>[2.83115854091011]</t>
  </si>
  <si>
    <t>b_o_</t>
  </si>
  <si>
    <t>[2.932598624844104]</t>
  </si>
  <si>
    <t>la_g_ _e_</t>
  </si>
  <si>
    <t>langg</t>
  </si>
  <si>
    <t>pa_s_m_ _y</t>
  </si>
  <si>
    <t>passomany</t>
  </si>
  <si>
    <t>[9.584235292160884]</t>
  </si>
  <si>
    <t>_in_ _u_</t>
  </si>
  <si>
    <t>[1.8106912919320166]</t>
  </si>
  <si>
    <t>p_ _e</t>
  </si>
  <si>
    <t>page</t>
  </si>
  <si>
    <t>pipe</t>
  </si>
  <si>
    <t>[4.63202212494798]</t>
  </si>
  <si>
    <t>ca_o_h_ _y</t>
  </si>
  <si>
    <t>[5.4473572911228985]</t>
  </si>
  <si>
    <t>_os_</t>
  </si>
  <si>
    <t>[np.float64(0.08183453237410072)]</t>
  </si>
  <si>
    <t>[np.float64(-0.295863309352518)]</t>
  </si>
  <si>
    <t>[2.1310519999824464]</t>
  </si>
  <si>
    <t>_l_u_ia_</t>
  </si>
  <si>
    <t>[np.float64(-0.015287769784172662)]</t>
  </si>
  <si>
    <t>[np.float64(-0.32194244604316546)]</t>
  </si>
  <si>
    <t>[6.181590208085254]</t>
  </si>
  <si>
    <t>c_ _hi_n</t>
  </si>
  <si>
    <t>cushion</t>
  </si>
  <si>
    <t>[np.float64(0.04316546762589928)]</t>
  </si>
  <si>
    <t>[np.float64(-0.3066546762589928)]</t>
  </si>
  <si>
    <t>[4.882273209048435]</t>
  </si>
  <si>
    <t>_ a_pe_</t>
  </si>
  <si>
    <t>[np.float64(0.044064748201438846)]</t>
  </si>
  <si>
    <t>[1.6794740830082446]</t>
  </si>
  <si>
    <t>_e_or_</t>
  </si>
  <si>
    <t>[np.float64(0.047661870503597124)]</t>
  </si>
  <si>
    <t>[np.float64(-0.2976618705035971)]</t>
  </si>
  <si>
    <t>[1.9147910829633474]</t>
  </si>
  <si>
    <t>i_si_i_</t>
  </si>
  <si>
    <t>irsisis</t>
  </si>
  <si>
    <t>[6.515966958133504]</t>
  </si>
  <si>
    <t>a_da_i_ _s</t>
  </si>
  <si>
    <t>[4.0475150409620255]</t>
  </si>
  <si>
    <t>_ui_ _</t>
  </si>
  <si>
    <t>[3.030242082895711]</t>
  </si>
  <si>
    <t>2025-11-09_11h41.23.238</t>
  </si>
  <si>
    <t>None</t>
  </si>
  <si>
    <t>2025-11-09 11h41.40.626864 +0530</t>
  </si>
  <si>
    <t>[np.float64(-0.3255395683453237)]</t>
  </si>
  <si>
    <t>[5.917098707985133]</t>
  </si>
  <si>
    <t>[6.978550833882764]</t>
  </si>
  <si>
    <t>[5.797077709110454]</t>
  </si>
  <si>
    <t>[9.699310750002041]</t>
  </si>
  <si>
    <t>[4.314397167181596]</t>
  </si>
  <si>
    <t>[4.230463500134647]</t>
  </si>
  <si>
    <t>samdwich</t>
  </si>
  <si>
    <t>[4.2980505840387195]</t>
  </si>
  <si>
    <t>[2.2978427498601377]</t>
  </si>
  <si>
    <t>[9.113403333118185]</t>
  </si>
  <si>
    <t>[6.432792374864221]</t>
  </si>
  <si>
    <t>[6.047726624878123]</t>
  </si>
  <si>
    <t>[4.463749582879245]</t>
  </si>
  <si>
    <t>[5.013231749879196]</t>
  </si>
  <si>
    <t>[3.2992546251043677]</t>
  </si>
  <si>
    <t>[4.247408541850746]</t>
  </si>
  <si>
    <t>m</t>
  </si>
  <si>
    <t>[np.float64(0.06025179856115108)]</t>
  </si>
  <si>
    <t>[6.2810595410410315]</t>
  </si>
  <si>
    <t>[3.5475599579513073]</t>
  </si>
  <si>
    <t>[4.515213167062029]</t>
  </si>
  <si>
    <t>boss</t>
  </si>
  <si>
    <t>[5.8495117500424385]</t>
  </si>
  <si>
    <t>[np.float64(-0.3444244604316547), np.float64(0.01618705035971223)]</t>
  </si>
  <si>
    <t>[np.float64(-0.24280575539568344), np.float64(-0.2949640287769784)]</t>
  </si>
  <si>
    <t>[4.246590833179653, 6.03059170814231]</t>
  </si>
  <si>
    <t>pope</t>
  </si>
  <si>
    <t>[np.float64(0.01618705035971223)]</t>
  </si>
  <si>
    <t>[0.20084900013171136]</t>
  </si>
  <si>
    <t>[np.float64(-0.030575539568345324), np.float64(-0.012589928057553957), np.float64(-0.006294964028776978)]</t>
  </si>
  <si>
    <t>[np.float64(0.09892086330935251), np.float64(-0.329136690647482), np.float64(-0.31564748201438847)]</t>
  </si>
  <si>
    <t>[1, 1, 1]</t>
  </si>
  <si>
    <t>[0, 0, 0]</t>
  </si>
  <si>
    <t>[5.613179542124271, 7.24460183409974, 8.211236542090774]</t>
  </si>
  <si>
    <t>[None, None, 'submit_text']</t>
  </si>
  <si>
    <t>2025-11-09_00h08.27.457</t>
  </si>
  <si>
    <t>2025-11-09 00h08.36.680229 +0530</t>
  </si>
  <si>
    <t>pose</t>
  </si>
  <si>
    <t>[np.float64(0.03866906474820144)]</t>
  </si>
  <si>
    <t>[np.float64(-0.30845323741007197)]</t>
  </si>
  <si>
    <t>[4.266983499983326]</t>
  </si>
  <si>
    <t>[5.780695124994963]</t>
  </si>
  <si>
    <t>[np.float64(0.0368705035971223)]</t>
  </si>
  <si>
    <t>[2.8975059590302408]</t>
  </si>
  <si>
    <t>[2.747535000089556]</t>
  </si>
  <si>
    <t>[1.8804919579997659]</t>
  </si>
  <si>
    <t>[1.7485507081728429]</t>
  </si>
  <si>
    <t>[3.5971670830622315]</t>
  </si>
  <si>
    <t>[7.130053624976426]</t>
  </si>
  <si>
    <t>[1.6329815839417279]</t>
  </si>
  <si>
    <t>[4.263030665926635]</t>
  </si>
  <si>
    <t>[5.632092833984643]</t>
  </si>
  <si>
    <t>alluviam</t>
  </si>
  <si>
    <t>[np.float64(0.018884892086330936)]</t>
  </si>
  <si>
    <t>[np.float64(-0.2922661870503597)]</t>
  </si>
  <si>
    <t>[7.096861208090559]</t>
  </si>
  <si>
    <t>[np.float64(0.0044964028776978415)]</t>
  </si>
  <si>
    <t>[7.097994500072673]</t>
  </si>
  <si>
    <t>[np.float64(0.002697841726618705)]</t>
  </si>
  <si>
    <t>[np.float64(-0.3039568345323741)]</t>
  </si>
  <si>
    <t>[3.0463021660689265]</t>
  </si>
  <si>
    <t>[np.float64(-0.0044964028776978415)]</t>
  </si>
  <si>
    <t>[np.float64(-0.3012589928057554)]</t>
  </si>
  <si>
    <t>[2.8473952079657465]</t>
  </si>
  <si>
    <t>[2.0820303331129253]</t>
  </si>
  <si>
    <t>[np.float64(-0.006294964028776978)]</t>
  </si>
  <si>
    <t>[np.float64(-0.29856115107913667)]</t>
  </si>
  <si>
    <t>[5.5144580830819905]</t>
  </si>
  <si>
    <t>[3.4971036661881953]</t>
  </si>
  <si>
    <t>[np.float64(-0.3057553956834532)]</t>
  </si>
  <si>
    <t>[5.498530708951876]</t>
  </si>
  <si>
    <t>[np.float64(-0.007194244604316547)]</t>
  </si>
  <si>
    <t>[np.float64(-0.3237410071942446)]</t>
  </si>
  <si>
    <t>[4.680338458856568]</t>
  </si>
  <si>
    <t>[np.float64(-0.0008992805755395684), np.float64(-0.002697841726618705)]</t>
  </si>
  <si>
    <t>[np.float64(-0.2580935251798561), np.float64(-0.302158273381295)]</t>
  </si>
  <si>
    <t>[4.930725832935423, 5.680436624912545]</t>
  </si>
  <si>
    <t>[np.float64(-0.009892086330935251)]</t>
  </si>
  <si>
    <t>[np.float64(-0.3183453237410072)]</t>
  </si>
  <si>
    <t>[6.282363124890253]</t>
  </si>
  <si>
    <t>[np.float64(-0.008093525179856115)]</t>
  </si>
  <si>
    <t>[np.float64(-0.30935251798561153)]</t>
  </si>
  <si>
    <t>[2.164014041889459]</t>
  </si>
  <si>
    <t>[np.float64(-0.3102517985611511)]</t>
  </si>
  <si>
    <t>[8.998025708133355]</t>
  </si>
  <si>
    <t>[np.float64(-0.008992805755395683)]</t>
  </si>
  <si>
    <t>[np.float64(-0.31115107913669066)]</t>
  </si>
  <si>
    <t>[2.5646312499884516]</t>
  </si>
  <si>
    <t>2025-11-09_13h01.38.419</t>
  </si>
  <si>
    <t>2025-11-09 13h01.58.766245 +0530</t>
  </si>
  <si>
    <t>[np.float64(-0.0368705035971223), np.float64(0.06654676258992806), np.float64(0.06294964028776978)]</t>
  </si>
  <si>
    <t>[np.float64(-0.008992805755395683), np.float64(-0.3552158273381295), np.float64(-0.3237410071942446)]</t>
  </si>
  <si>
    <t>[1.6501082498580217, 3.400020750006661, 3.933395291911438]</t>
  </si>
  <si>
    <t>[np.float64(0.06294964028776978)]</t>
  </si>
  <si>
    <t>[3.747755375225097]</t>
  </si>
  <si>
    <t>[np.float64(0.06115107913669065)]</t>
  </si>
  <si>
    <t>[7.796854582848027]</t>
  </si>
  <si>
    <t>[2.681478250073269]</t>
  </si>
  <si>
    <t>[2.1806187089532614]</t>
  </si>
  <si>
    <t>[4.031587208155543]</t>
  </si>
  <si>
    <t>[2.981356665957719]</t>
  </si>
  <si>
    <t>[1.2169049170333892]</t>
  </si>
  <si>
    <t>[np.float64(-0.2904676258992806)]</t>
  </si>
  <si>
    <t>[6.114784625126049]</t>
  </si>
  <si>
    <t>[3.7803987921215594]</t>
  </si>
  <si>
    <t>[5.097471999935806]</t>
  </si>
  <si>
    <t>[4.032237291103229]</t>
  </si>
  <si>
    <t>[np.float64(0.06205035971223022)]</t>
  </si>
  <si>
    <t>[np.float64(-0.29136690647482016)]</t>
  </si>
  <si>
    <t>[8.019994917092845]</t>
  </si>
  <si>
    <t>o</t>
  </si>
  <si>
    <t>[4.492669583065435]</t>
  </si>
  <si>
    <t>[3.5457428751979023]</t>
  </si>
  <si>
    <t>[np.float64(-0.0170863309352518)]</t>
  </si>
  <si>
    <t>[4.180949457921088]</t>
  </si>
  <si>
    <t>[2.9972096658311784]</t>
  </si>
  <si>
    <t>[2.065773416077718]</t>
  </si>
  <si>
    <t>[5.53042091592215]</t>
  </si>
  <si>
    <t>balance</t>
  </si>
  <si>
    <t>[4.615536000113934]</t>
  </si>
  <si>
    <t>[4.714420249918476]</t>
  </si>
  <si>
    <t>[3.213073750026524]</t>
  </si>
  <si>
    <t>[5.449633500073105]</t>
  </si>
  <si>
    <t>[3.3130928750615567]</t>
  </si>
  <si>
    <t>2025-11-10_14h05.16.359</t>
  </si>
  <si>
    <t>2025-11-10 14h06.22.568231 +0530</t>
  </si>
  <si>
    <t>[np.float64(0.26348920863309355)]</t>
  </si>
  <si>
    <t>[9.016416000202298]</t>
  </si>
  <si>
    <t>[None]</t>
  </si>
  <si>
    <t>cacophany</t>
  </si>
  <si>
    <t>[np.float64(0.03776978417266187)]</t>
  </si>
  <si>
    <t>[np.float64(-0.27697841726618705)]</t>
  </si>
  <si>
    <t>[5.1055619169492275]</t>
  </si>
  <si>
    <t>[np.float64(0.04946043165467626), np.float64(0.03327338129496403)]</t>
  </si>
  <si>
    <t>[np.float64(-0.2383093525179856), np.float64(-0.29406474820143885)]</t>
  </si>
  <si>
    <t>[2.134483584202826, 3.099413959076628]</t>
  </si>
  <si>
    <t>[np.float64(0.040467625899280574), np.float64(0.024280575539568347)]</t>
  </si>
  <si>
    <t>[np.float64(-0.2607913669064748), np.float64(-0.30305755395683454)]</t>
  </si>
  <si>
    <t>[4.097971667069942, 4.981297041988]</t>
  </si>
  <si>
    <t>aluvia</t>
  </si>
  <si>
    <t>[np.float64(0.09712230215827339)]</t>
  </si>
  <si>
    <t>[7.297096458030865]</t>
  </si>
  <si>
    <t>[np.float64(0.07553956834532374)]</t>
  </si>
  <si>
    <t>[6.498843834036961]</t>
  </si>
  <si>
    <t>[np.float64(0.052158273381294966)]</t>
  </si>
  <si>
    <t>[np.float64(-0.31564748201438847)]</t>
  </si>
  <si>
    <t>[5.698550000088289]</t>
  </si>
  <si>
    <t>[np.float64(0.051258992805755396)]</t>
  </si>
  <si>
    <t>[0.13119062478654087]</t>
  </si>
  <si>
    <t>lost</t>
  </si>
  <si>
    <t>[np.float64(0.0341726618705036), np.float64(0.030575539568345324)]</t>
  </si>
  <si>
    <t>[np.float64(-0.3462230215827338), np.float64(-0.2805755395683453)]</t>
  </si>
  <si>
    <t>[8.397853499976918, 8.914236875018105]</t>
  </si>
  <si>
    <t>[np.float64(0.026079136690647483)]</t>
  </si>
  <si>
    <t>[2.7649998751003295]</t>
  </si>
  <si>
    <t>[7.180309500079602]</t>
  </si>
  <si>
    <t>[np.float64(0.03147482014388489)]</t>
  </si>
  <si>
    <t>[5.530963042052463]</t>
  </si>
  <si>
    <t>audavious</t>
  </si>
  <si>
    <t>[np.float64(0.022482014388489208)]</t>
  </si>
  <si>
    <t>[np.float64(-0.2949640287769784)]</t>
  </si>
  <si>
    <t>[4.380551917012781]</t>
  </si>
  <si>
    <t>[np.float64(0.03237410071942446)]</t>
  </si>
  <si>
    <t>[np.float64(-0.322841726618705)]</t>
  </si>
  <si>
    <t>[5.74667412484996]</t>
  </si>
  <si>
    <t>[np.float64(0.014388489208633094)]</t>
  </si>
  <si>
    <t>[7.132653333013877]</t>
  </si>
  <si>
    <t>[8.997319999849424]</t>
  </si>
  <si>
    <t>[np.float64(-0.30755395683453235)]</t>
  </si>
  <si>
    <t>[7.882165333023295]</t>
  </si>
  <si>
    <t>[np.float64(0.013489208633093525)]</t>
  </si>
  <si>
    <t>[3.4822619159240276]</t>
  </si>
  <si>
    <t>language</t>
  </si>
  <si>
    <t>[2.329630999825895]</t>
  </si>
  <si>
    <t>pile</t>
  </si>
  <si>
    <t>[6.116829083999619]</t>
  </si>
  <si>
    <t>2025-11-10_14h25.04.197</t>
  </si>
  <si>
    <t>2025-11-10 14h25.26.314605 +0530</t>
  </si>
  <si>
    <t>loss</t>
  </si>
  <si>
    <t>[np.float64(0.03866906474820144), np.float64(0.025179856115107913)]</t>
  </si>
  <si>
    <t>[np.float64(-0.34802158273381295), np.float64(-0.3057553956834532)]</t>
  </si>
  <si>
    <t>[6.150331542128697, 6.916416875086725]</t>
  </si>
  <si>
    <t>[9.865644416073337]</t>
  </si>
  <si>
    <t>[np.float64(0.007194244604316547)]</t>
  </si>
  <si>
    <t>[np.float64(-0.2814748201438849)]</t>
  </si>
  <si>
    <t>[8.218431666959077]</t>
  </si>
  <si>
    <t>[np.float64(0.0)]</t>
  </si>
  <si>
    <t>[np.float64(-0.3129496402877698)]</t>
  </si>
  <si>
    <t>[2.9283840828575194]</t>
  </si>
  <si>
    <t>[np.float64(-0.01079136690647482)]</t>
  </si>
  <si>
    <t>[2.714222083101049]</t>
  </si>
  <si>
    <t>[2.581399084068835]</t>
  </si>
  <si>
    <t>[np.float64(-0.28327338129496404)]</t>
  </si>
  <si>
    <t>[3.1642790830228478]</t>
  </si>
  <si>
    <t>[3.9500160000752658]</t>
  </si>
  <si>
    <t>[np.float64(0.045863309352517985)]</t>
  </si>
  <si>
    <t>[4.696741833118722]</t>
  </si>
  <si>
    <t>[np.float64(0.04946043165467626)]</t>
  </si>
  <si>
    <t>[2.097997291944921]</t>
  </si>
  <si>
    <t>[np.float64(0.044964028776978415)]</t>
  </si>
  <si>
    <t>[1.8644032499287277]</t>
  </si>
  <si>
    <t>[np.float64(0.040467625899280574)]</t>
  </si>
  <si>
    <t>[6.748190499842167]</t>
  </si>
  <si>
    <t>[9.264007749967277]</t>
  </si>
  <si>
    <t>[2.5811028331518173]</t>
  </si>
  <si>
    <t>alluvial</t>
  </si>
  <si>
    <t>[7.330471666995436]</t>
  </si>
  <si>
    <t>[np.float64(0.08453237410071943)]</t>
  </si>
  <si>
    <t>[np.float64(-0.3192446043165468)]</t>
  </si>
  <si>
    <t>[4.547834292054176]</t>
  </si>
  <si>
    <t>[np.float64(0.09082733812949641), np.float64(0.08363309352517985)]</t>
  </si>
  <si>
    <t>[np.float64(-0.3471223021582734), np.float64(-0.31564748201438847)]</t>
  </si>
  <si>
    <t>[5.330763790989295, 5.930796000175178]</t>
  </si>
  <si>
    <t>[np.float64(0.10701438848920863)]</t>
  </si>
  <si>
    <t>[3.6814866671338677]</t>
  </si>
  <si>
    <t>[np.float64(-0.2589928057553957)]</t>
  </si>
  <si>
    <t>[9.646998582873493]</t>
  </si>
  <si>
    <t>[np.float64(-0.2868705035971223)]</t>
  </si>
  <si>
    <t>[0.09803204098716378]</t>
  </si>
  <si>
    <t>[6.531619583023712]</t>
  </si>
  <si>
    <t>[np.float64(0.07014388489208633)]</t>
  </si>
  <si>
    <t>[9.41496566706337]</t>
  </si>
  <si>
    <t>2025-11-14_17h41.22.485</t>
  </si>
  <si>
    <t>2025-11-14 17h41.33.905159 +0530</t>
  </si>
  <si>
    <t>[np.float64(0.06744604316546762)]</t>
  </si>
  <si>
    <t>[np.float64(-0.08812949640287769)]</t>
  </si>
  <si>
    <t>[9.669065916910768]</t>
  </si>
  <si>
    <t>icsi</t>
  </si>
  <si>
    <t>boot</t>
  </si>
  <si>
    <t>[np.float64(0.09172661870503597)]</t>
  </si>
  <si>
    <t>[8.640269834082574]</t>
  </si>
  <si>
    <t>[np.float64(0.17805755395683454), np.float64(0.17805755395683454), np.float64(0.05665467625899281)]</t>
  </si>
  <si>
    <t>[np.float64(-0.2329136690647482), np.float64(-0.2329136690647482), np.float64(-0.3102517985611511)]</t>
  </si>
  <si>
    <t>[2.2642583327833563, 2.8794354158453643, 3.8298992498312145]</t>
  </si>
  <si>
    <t>pure</t>
  </si>
  <si>
    <t>[np.float64(0.05665467625899281)]</t>
  </si>
  <si>
    <t>[3.6471892918925732]</t>
  </si>
  <si>
    <t>[2.865066999802366]</t>
  </si>
  <si>
    <t>cocophony</t>
  </si>
  <si>
    <t>[3.163875917205587]</t>
  </si>
  <si>
    <t>[3.7143340830225497]</t>
  </si>
  <si>
    <t>cophin</t>
  </si>
  <si>
    <t>[7.7475484169553965]</t>
  </si>
  <si>
    <t>[5.097003249917179]</t>
  </si>
  <si>
    <t>comies</t>
  </si>
  <si>
    <t>oisc</t>
  </si>
  <si>
    <t>[np.float64(-0.052158273381294966), np.float64(0.024280575539568347), np.float64(0.024280575539568347), np.float64(0.024280575539568347)]</t>
  </si>
  <si>
    <t>[np.float64(0.24010791366906475), np.float64(-0.26798561151079137), np.float64(-0.26798561151079137), np.float64(-0.3147482014388489)]</t>
  </si>
  <si>
    <t>[1, 1, 1, 1]</t>
  </si>
  <si>
    <t>[0, 0, 0, 0]</t>
  </si>
  <si>
    <t>[2.998805125011131, 4.115713124861941, 4.898996624862775, 5.849160833982751]</t>
  </si>
  <si>
    <t>[None, None, None, 'submit_text']</t>
  </si>
  <si>
    <t>[np.float64(0.024280575539568347)]</t>
  </si>
  <si>
    <t>[np.float64(-0.3147482014388489)]</t>
  </si>
  <si>
    <t>[5.464709291933104]</t>
  </si>
  <si>
    <t>ballance</t>
  </si>
  <si>
    <t>ting</t>
  </si>
  <si>
    <t>[np.float64(0.07464028776978417), np.float64(0.06474820143884892)]</t>
  </si>
  <si>
    <t>[np.float64(-0.18165467625899281), np.float64(-0.2994604316546763)]</t>
  </si>
  <si>
    <t>[2.814777292078361, 3.513200042070821]</t>
  </si>
  <si>
    <t>eleusia</t>
  </si>
  <si>
    <t>[np.float64(0.11510791366906475)]</t>
  </si>
  <si>
    <t>[6.766106833005324]</t>
  </si>
  <si>
    <t>pacs</t>
  </si>
  <si>
    <t>[np.float64(-0.039568345323741004), np.float64(0.07553956834532374), np.float64(0.0764388489208633)]</t>
  </si>
  <si>
    <t>[np.float64(0.15017985611510792), np.float64(-0.3327338129496403), np.float64(-0.3012589928057554)]</t>
  </si>
  <si>
    <t>[4.2989408751018345, 5.098552458919585, 5.698862374993041]</t>
  </si>
  <si>
    <t>hilarious</t>
  </si>
  <si>
    <t>[np.float64(0.044064748201438846), np.float64(0.052158273381294966), np.float64(0.04946043165467626), np.float64(0.05485611510791367)]</t>
  </si>
  <si>
    <t>[np.float64(-0.4001798561151079), np.float64(-0.36510791366906475), np.float64(-0.3318345323741007), np.float64(-0.3192446043165468)]</t>
  </si>
  <si>
    <t>[3.299343958031386, 3.8489887081086636, 5.331927708117291, 6.649540500016883]</t>
  </si>
  <si>
    <t>[2.063011124962941]</t>
  </si>
  <si>
    <t>[2.7144447090104222]</t>
  </si>
  <si>
    <t>2025-11-14_18h00.44.038</t>
  </si>
  <si>
    <t>2025-11-14 18h01.10.289761 +0530</t>
  </si>
  <si>
    <t>c</t>
  </si>
  <si>
    <t>b</t>
  </si>
  <si>
    <t>allumia</t>
  </si>
  <si>
    <t>[np.float64(0.07913669064748201)]</t>
  </si>
  <si>
    <t>[np.float64(-0.24550359712230216)]</t>
  </si>
  <si>
    <t>[7.999199415789917]</t>
  </si>
  <si>
    <t>pars</t>
  </si>
  <si>
    <t>osscars</t>
  </si>
  <si>
    <t>[np.float64(-0.026079136690647483), np.float64(-0.03597122302158273), np.float64(-0.02158273381294964)]</t>
  </si>
  <si>
    <t>[np.float64(0.00539568345323741), np.float64(-0.2383093525179856), np.float64(-0.3183453237410072)]</t>
  </si>
  <si>
    <t>[7.515140833100304, 8.131599208107218, 9.01302225003019]</t>
  </si>
  <si>
    <t>[np.float64(0.08273381294964029), np.float64(0.07194244604316546)]</t>
  </si>
  <si>
    <t>[np.float64(-0.35251798561151076), np.float64(-0.3129496402877698)]</t>
  </si>
  <si>
    <t>[3.5839912921655923, 5.133754084119573]</t>
  </si>
  <si>
    <t>[np.float64(0.04226618705035971)]</t>
  </si>
  <si>
    <t>[7.21373820817098]</t>
  </si>
  <si>
    <t>vallance</t>
  </si>
  <si>
    <t>[np.float64(0.046762589928057555)]</t>
  </si>
  <si>
    <t>[0.09843158395960927]</t>
  </si>
  <si>
    <t>le</t>
  </si>
  <si>
    <t>[np.float64(-0.0035971223021582736), np.float64(0.03597122302158273), np.float64(0.08183453237410072), np.float64(0.11420863309352518)]</t>
  </si>
  <si>
    <t>[np.float64(-0.4766187050359712), np.float64(-0.4181654676258993), np.float64(-0.36780575539568344), np.float64(-0.30755395683453235)]</t>
  </si>
  <si>
    <t>[3.0634573330171406, 3.512611750047654, 4.097263332922012, 4.746576291974634]</t>
  </si>
  <si>
    <t>esocentric</t>
  </si>
  <si>
    <t>[np.float64(0.07284172661870504)]</t>
  </si>
  <si>
    <t>[5.248158833943307]</t>
  </si>
  <si>
    <t>[9.482527875108644]</t>
  </si>
  <si>
    <t>phols</t>
  </si>
  <si>
    <t>[np.float64(-0.34172661870503596)]</t>
  </si>
  <si>
    <t>[0.18256208300590515]</t>
  </si>
  <si>
    <t>[np.float64(-0.07913669064748201)]</t>
  </si>
  <si>
    <t>[np.float64(-0.28776978417266186)]</t>
  </si>
  <si>
    <t>[8.198207250097767]</t>
  </si>
  <si>
    <t>[6.297475207829848]</t>
  </si>
  <si>
    <t>pale</t>
  </si>
  <si>
    <t>[np.float64(-0.051258992805755396)]</t>
  </si>
  <si>
    <t>[6.165999124990776]</t>
  </si>
  <si>
    <t>[np.float64(-0.050359712230215826)]</t>
  </si>
  <si>
    <t>[4.54782974999398]</t>
  </si>
  <si>
    <t>[np.float64(-0.06115107913669065), np.float64(-0.01618705035971223)]</t>
  </si>
  <si>
    <t>[np.float64(-0.3660071942446043), np.float64(-0.32643884892086333)]</t>
  </si>
  <si>
    <t>[4.064290791982785, 4.964229332981631]</t>
  </si>
  <si>
    <t>[np.float64(-0.01618705035971223)]</t>
  </si>
  <si>
    <t>[np.float64(-0.32643884892086333)]</t>
  </si>
  <si>
    <t>[4.081602999940515]</t>
  </si>
  <si>
    <t>P5</t>
  </si>
  <si>
    <t>2025-11-23_00h03.24.282</t>
  </si>
  <si>
    <t>2025-11-23 00h03.54.162162 +0530</t>
  </si>
  <si>
    <t>[np.float64(-0.06205035971223022)]</t>
  </si>
  <si>
    <t>[6.065906458999962]</t>
  </si>
  <si>
    <t>error</t>
  </si>
  <si>
    <t>[np.float64(-0.040467625899280574)]</t>
  </si>
  <si>
    <t>[3.330382250016555]</t>
  </si>
  <si>
    <t>[3.431904374854639]</t>
  </si>
  <si>
    <t>boon</t>
  </si>
  <si>
    <t>[np.float64(-0.0368705035971223)]</t>
  </si>
  <si>
    <t>[4.44886029092595]</t>
  </si>
  <si>
    <t>[2.9794979160651565]</t>
  </si>
  <si>
    <t>[1.6307909169699997]</t>
  </si>
  <si>
    <t>[4.031760375015438]</t>
  </si>
  <si>
    <t>[1.1453967499546707]</t>
  </si>
  <si>
    <t>[7.682760333176702]</t>
  </si>
  <si>
    <t>[6.963967415969819]</t>
  </si>
  <si>
    <t>[4.46473729191348]</t>
  </si>
  <si>
    <t>[2.430277833947912]</t>
  </si>
  <si>
    <t>[3.131266582990065]</t>
  </si>
  <si>
    <t>[4.582069540861994]</t>
  </si>
  <si>
    <t>[4.7306598329450935]</t>
  </si>
  <si>
    <t>[2.796836958033964]</t>
  </si>
  <si>
    <t>[4.298991458956152]</t>
  </si>
  <si>
    <t>[2.547455667052418]</t>
  </si>
  <si>
    <t>[np.float64(-0.04316546762589928)]</t>
  </si>
  <si>
    <t>[1.3124079580884427]</t>
  </si>
  <si>
    <t>[3.666109082987532]</t>
  </si>
  <si>
    <t>[1.8964602500200272]</t>
  </si>
  <si>
    <t>[8.515718457987532]</t>
  </si>
  <si>
    <t>[2.9478310830891132]</t>
  </si>
  <si>
    <t>[1.2465813329908997]</t>
  </si>
  <si>
    <t>[2.082337334053591]</t>
  </si>
  <si>
    <t>StudyText.stopped</t>
  </si>
  <si>
    <t>P5.1</t>
  </si>
  <si>
    <t>2025-11-23_00h07.01.968</t>
  </si>
  <si>
    <t>2025-11-23 00h07.17.060169 +0530</t>
  </si>
  <si>
    <t>[np.float64(-0.21492805755395683), np.float64(-0.02158273381294964), np.float64(-0.022482014388489208)]</t>
  </si>
  <si>
    <t>[np.float64(-0.13219424460431656), np.float64(-0.2652877697841727), np.float64(-0.2904676258992806)]</t>
  </si>
  <si>
    <t>[7.083886625012383, 7.8494098340161145, 8.566205959068611]</t>
  </si>
  <si>
    <t>[np.float64(-0.022482014388489208)]</t>
  </si>
  <si>
    <t>[2.5122686671093106]</t>
  </si>
  <si>
    <t>[2.6664315410889685]</t>
  </si>
  <si>
    <t>[2.731000625062734]</t>
  </si>
  <si>
    <t>[2.4981764170806855]</t>
  </si>
  <si>
    <t>[2.9642901248298585]</t>
  </si>
  <si>
    <t>[0.9633443329948932]</t>
  </si>
  <si>
    <t>[2.3158305000979453]</t>
  </si>
  <si>
    <t>[1.9478182499296963]</t>
  </si>
  <si>
    <t>[2.514111042022705]</t>
  </si>
  <si>
    <t>[1.7465548750478774]</t>
  </si>
  <si>
    <t>[4.532343500060961]</t>
  </si>
  <si>
    <t>[3.6469247499480844]</t>
  </si>
  <si>
    <t>[4.131048417184502]</t>
  </si>
  <si>
    <t>[2.9143885420635343]</t>
  </si>
  <si>
    <t>[3.0137297089677304]</t>
  </si>
  <si>
    <t>[1.4632464579772204]</t>
  </si>
  <si>
    <t>[np.float64(-0.0008992805755395684)]</t>
  </si>
  <si>
    <t>[7.297413500025868]</t>
  </si>
  <si>
    <t>[1.599287292221561]</t>
  </si>
  <si>
    <t>[2.348118749912828]</t>
  </si>
  <si>
    <t>[0.16677758400328457]</t>
  </si>
  <si>
    <t>[3.3320917908567935]</t>
  </si>
  <si>
    <t>[4.162475374992937]</t>
  </si>
  <si>
    <t>[2.0496222500223666]</t>
  </si>
  <si>
    <t>P6</t>
  </si>
  <si>
    <t>2025-11-23_00h12.50.594</t>
  </si>
  <si>
    <t>2025-11-23 00h13.00.413626 +0530</t>
  </si>
  <si>
    <t>[np.float64(-0.06205035971223022), np.float64(-0.05575539568345324)]</t>
  </si>
  <si>
    <t>[np.float64(-0.34172661870503596), np.float64(-0.32194244604316546)]</t>
  </si>
  <si>
    <t>[4.30038133286871, 5.5491942500229925]</t>
  </si>
  <si>
    <t>[np.float64(-0.05575539568345324)]</t>
  </si>
  <si>
    <t>[6.33069087495096]</t>
  </si>
  <si>
    <t>[1.4970706249587238]</t>
  </si>
  <si>
    <t>[3.7825362500734627]</t>
  </si>
  <si>
    <t>[5.664040375035256]</t>
  </si>
  <si>
    <t>[4.314804165856913]</t>
  </si>
  <si>
    <t>[2.4134399578906596]</t>
  </si>
  <si>
    <t>[np.float64(-0.05845323741007194)]</t>
  </si>
  <si>
    <t>[np.float64(-0.31654676258992803)]</t>
  </si>
  <si>
    <t>[1.1310967500321567]</t>
  </si>
  <si>
    <t>[2.2818641250487417]</t>
  </si>
  <si>
    <t>[2.897713875165209]</t>
  </si>
  <si>
    <t>[2.4137305840849876]</t>
  </si>
  <si>
    <t>[np.float64(-0.05935251798561151)]</t>
  </si>
  <si>
    <t>[3.9652458340860903]</t>
  </si>
  <si>
    <t>[4.314485582988709]</t>
  </si>
  <si>
    <t>[1.029684083070606]</t>
  </si>
  <si>
    <t>[1.915542208822444]</t>
  </si>
  <si>
    <t>[1.2643268331885338]</t>
  </si>
  <si>
    <t>[3.165632499847561]</t>
  </si>
  <si>
    <t>[3.063622249988839]</t>
  </si>
  <si>
    <t>[1.8647690839134157]</t>
  </si>
  <si>
    <t>[3.747000708943233]</t>
  </si>
  <si>
    <t>[2.7326521661598235]</t>
  </si>
  <si>
    <t>[2.5969737500417978]</t>
  </si>
  <si>
    <t>[3.0479935000184923]</t>
  </si>
  <si>
    <t>[4.180937333963811]</t>
  </si>
  <si>
    <t>[2.5474847501609474]</t>
  </si>
  <si>
    <t>P6.1</t>
  </si>
  <si>
    <t>2025-11-23_00h15.16.069</t>
  </si>
  <si>
    <t>2025-11-23 00h16.22.660423 +0530</t>
  </si>
  <si>
    <t>[np.float64(-0.06384892086330936), np.float64(-0.06115107913669065)]</t>
  </si>
  <si>
    <t>[np.float64(-0.3426258992805755), np.float64(-0.295863309352518)]</t>
  </si>
  <si>
    <t>[3.51635216595605, 4.431146124843508]</t>
  </si>
  <si>
    <t>[3.63181525003165]</t>
  </si>
  <si>
    <t>[3.0129459160380065]</t>
  </si>
  <si>
    <t>[2.4975365411955863]</t>
  </si>
  <si>
    <t>[2.797727999975905]</t>
  </si>
  <si>
    <t>[6.164395541884005]</t>
  </si>
  <si>
    <t>[np.float64(-0.03597122302158273)]</t>
  </si>
  <si>
    <t>[np.float64(-0.3408273381294964)]</t>
  </si>
  <si>
    <t>[9.197491874918342]</t>
  </si>
  <si>
    <t>[np.float64(-0.052158273381294966)]</t>
  </si>
  <si>
    <t>[0.011029917048290372]</t>
  </si>
  <si>
    <t>[np.float64(-0.03237410071942446)]</t>
  </si>
  <si>
    <t>[4.736350625054911]</t>
  </si>
  <si>
    <t>[4.798049665987492]</t>
  </si>
  <si>
    <t>[2.113852416863665]</t>
  </si>
  <si>
    <t>[4.199282624991611]</t>
  </si>
  <si>
    <t>[2.0958327499683946]</t>
  </si>
  <si>
    <t>[4.330603082897142]</t>
  </si>
  <si>
    <t>[2.930076583987102]</t>
  </si>
  <si>
    <t>[3.265529958065599]</t>
  </si>
  <si>
    <t>[2.8976191671099514]</t>
  </si>
  <si>
    <t>[1.6298631250392646]</t>
  </si>
  <si>
    <t>[2.9322485830634832]</t>
  </si>
  <si>
    <t>beuile</t>
  </si>
  <si>
    <t>[2.1815840830095112]</t>
  </si>
  <si>
    <t>[1.9128248752094805]</t>
  </si>
  <si>
    <t>[2.9327561671379954]</t>
  </si>
  <si>
    <t>[1.8456732090562582]</t>
  </si>
  <si>
    <t>[2.599002999952063]</t>
  </si>
  <si>
    <t>[2.0984716250095516]</t>
  </si>
  <si>
    <t>prop hit from study list</t>
  </si>
  <si>
    <t>prop hit from non primed words</t>
  </si>
  <si>
    <t>6 by 12</t>
  </si>
  <si>
    <t>2 by 3</t>
  </si>
  <si>
    <t>priming score before</t>
  </si>
  <si>
    <t xml:space="preserve"> 8 by 12</t>
  </si>
  <si>
    <t xml:space="preserve">2 by 3 </t>
  </si>
  <si>
    <t>priming score after</t>
  </si>
  <si>
    <t xml:space="preserve">3 by 4 </t>
  </si>
  <si>
    <t xml:space="preserve">11 by 12 </t>
  </si>
  <si>
    <t xml:space="preserve">3 by 3 </t>
  </si>
  <si>
    <t>10 by 14</t>
  </si>
  <si>
    <t xml:space="preserve">1 by 2 </t>
  </si>
  <si>
    <t>16 by 17</t>
  </si>
  <si>
    <t xml:space="preserve">11 by 15 </t>
  </si>
  <si>
    <t>10 by 18</t>
  </si>
  <si>
    <t>1 by 5</t>
  </si>
  <si>
    <t>8 by 16</t>
  </si>
  <si>
    <t>8 by 11</t>
  </si>
  <si>
    <t>1 by 2</t>
  </si>
  <si>
    <t xml:space="preserve">12 by 13 </t>
  </si>
  <si>
    <t>12 by 13</t>
  </si>
  <si>
    <t>14 by 16</t>
  </si>
  <si>
    <t>Participant</t>
  </si>
  <si>
    <t>Sleep</t>
  </si>
  <si>
    <t>Wake</t>
  </si>
  <si>
    <t>Group</t>
  </si>
  <si>
    <t xml:space="preserve">difference </t>
  </si>
  <si>
    <t>difference</t>
  </si>
  <si>
    <t>Priming_Change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</si>
</sst>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indexed="8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4" fillId="0" borderId="0" xfId="0" applyFont="1">
      <alignment vertical="top" wrapText="1"/>
    </xf>
    <xf numFmtId="0" fontId="5" fillId="0" borderId="0" xfId="0" applyFont="1">
      <alignment vertical="top" wrapText="1"/>
    </xf>
    <xf numFmtId="0" fontId="3" fillId="0" borderId="0" xfId="0" applyFont="1">
      <alignment vertical="top" wrapText="1"/>
    </xf>
    <xf numFmtId="11" fontId="3" fillId="0" borderId="0" xfId="0" applyNumberFormat="1" applyFont="1">
      <alignment vertical="top" wrapText="1"/>
    </xf>
    <xf numFmtId="0" fontId="2" fillId="0" borderId="0" xfId="0" applyNumberFormat="1" applyFont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3" fillId="4" borderId="0" xfId="0" applyFont="1" applyFill="1">
      <alignment vertical="top" wrapText="1"/>
    </xf>
    <xf numFmtId="0" fontId="5" fillId="4" borderId="0" xfId="0" applyFont="1" applyFill="1">
      <alignment vertical="top" wrapText="1"/>
    </xf>
    <xf numFmtId="0" fontId="2" fillId="0" borderId="0" xfId="0" applyFont="1">
      <alignment vertical="top" wrapText="1"/>
    </xf>
    <xf numFmtId="0" fontId="3" fillId="0" borderId="0" xfId="0" applyFont="1" applyFill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AFB3-DDB4-8042-954F-856FE76B9C8C}">
  <dimension ref="A1:BK52"/>
  <sheetViews>
    <sheetView topLeftCell="D14" workbookViewId="0">
      <selection activeCell="M52" sqref="M52"/>
    </sheetView>
  </sheetViews>
  <sheetFormatPr baseColWidth="10" defaultRowHeight="13" x14ac:dyDescent="0.15"/>
  <cols>
    <col min="1" max="1" width="10.6640625" style="1" customWidth="1"/>
    <col min="2" max="2" width="5.6640625" style="1" customWidth="1"/>
    <col min="3" max="3" width="9" style="1" customWidth="1"/>
    <col min="4" max="4" width="8.83203125" style="1" customWidth="1"/>
    <col min="5" max="5" width="18.1640625" style="1" customWidth="1"/>
    <col min="6" max="6" width="17.6640625" style="1" customWidth="1"/>
    <col min="7" max="7" width="10.1640625" style="1" customWidth="1"/>
    <col min="8" max="8" width="9.6640625" style="1" customWidth="1"/>
    <col min="9" max="9" width="8" style="1" customWidth="1"/>
    <col min="10" max="10" width="14.83203125" style="1" customWidth="1"/>
    <col min="11" max="11" width="54.1640625" style="1" customWidth="1"/>
    <col min="12" max="12" width="54.6640625" style="1" customWidth="1"/>
    <col min="13" max="13" width="18.1640625" style="1" customWidth="1"/>
    <col min="14" max="14" width="18.6640625" style="1" customWidth="1"/>
    <col min="15" max="15" width="19.33203125" style="1" customWidth="1"/>
    <col min="16" max="16" width="33" style="1" customWidth="1"/>
    <col min="17" max="17" width="21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9.5" style="1" customWidth="1"/>
    <col min="27" max="27" width="6" style="1" customWidth="1"/>
    <col min="28" max="28" width="18.6640625" style="1" customWidth="1"/>
    <col min="29" max="30" width="19.5" style="1" customWidth="1"/>
    <col min="31" max="31" width="17.6640625" style="1" customWidth="1"/>
    <col min="32" max="32" width="22.6640625" style="1" customWidth="1"/>
    <col min="33" max="37" width="17.6640625" style="1" customWidth="1"/>
    <col min="38" max="38" width="20.5" style="1" customWidth="1"/>
    <col min="39" max="39" width="17.6640625" style="1" customWidth="1"/>
    <col min="40" max="40" width="21" style="1" customWidth="1"/>
    <col min="41" max="41" width="54.1640625" style="1" customWidth="1"/>
    <col min="42" max="42" width="54.6640625" style="1" customWidth="1"/>
    <col min="43" max="43" width="24.33203125" style="1" customWidth="1"/>
    <col min="44" max="44" width="24.83203125" style="1" customWidth="1"/>
    <col min="45" max="45" width="25.5" style="1" customWidth="1"/>
    <col min="46" max="46" width="33" style="1" customWidth="1"/>
    <col min="47" max="47" width="27.5" style="1" customWidth="1"/>
    <col min="48" max="48" width="17.6640625" style="1" customWidth="1"/>
    <col min="49" max="49" width="18.33203125" style="1" customWidth="1"/>
    <col min="50" max="50" width="17.6640625" style="1" customWidth="1"/>
    <col min="51" max="51" width="16.83203125" style="1" customWidth="1"/>
    <col min="52" max="52" width="10" style="1" customWidth="1"/>
    <col min="53" max="53" width="7.5" style="1" customWidth="1"/>
    <col min="54" max="54" width="21.1640625" style="1" customWidth="1"/>
    <col min="55" max="55" width="14.33203125" style="1" customWidth="1"/>
    <col min="56" max="56" width="10.1640625" style="1" customWidth="1"/>
    <col min="57" max="57" width="15" style="1" customWidth="1"/>
    <col min="58" max="58" width="17.6640625" style="1" customWidth="1"/>
    <col min="59" max="59" width="28.83203125" style="1" customWidth="1"/>
    <col min="60" max="61" width="8.33203125" style="1" customWidth="1"/>
    <col min="62" max="63" width="10.83203125" style="1"/>
  </cols>
  <sheetData>
    <row r="1" spans="1:6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/>
    </row>
    <row r="2" spans="1:60" x14ac:dyDescent="0.15">
      <c r="A2" s="4" t="s">
        <v>59</v>
      </c>
      <c r="B2" s="5">
        <v>0</v>
      </c>
      <c r="C2" s="6">
        <v>0</v>
      </c>
      <c r="D2" s="6">
        <v>0</v>
      </c>
      <c r="E2" s="6">
        <v>1</v>
      </c>
      <c r="F2" s="6">
        <v>3.1349707089830199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12</v>
      </c>
      <c r="V2" s="7"/>
      <c r="W2" s="7"/>
      <c r="X2" s="7"/>
      <c r="Y2" s="7"/>
      <c r="Z2" s="6">
        <v>4.0640541119501002E-2</v>
      </c>
      <c r="AA2" s="7"/>
      <c r="AB2" s="6">
        <v>2.70803750026971E-2</v>
      </c>
      <c r="AC2" s="6">
        <v>4.0640541119501002E-2</v>
      </c>
      <c r="AD2" s="6">
        <v>4.0640541119501002E-2</v>
      </c>
      <c r="AE2" s="6">
        <v>3.1704875831492201</v>
      </c>
      <c r="AF2" s="6">
        <v>1</v>
      </c>
      <c r="AG2" s="6">
        <v>3.1349707089830199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6">
        <v>1</v>
      </c>
      <c r="BA2" s="6">
        <v>1</v>
      </c>
      <c r="BB2" s="8" t="s">
        <v>60</v>
      </c>
      <c r="BC2" s="8" t="s">
        <v>61</v>
      </c>
      <c r="BD2" s="7"/>
      <c r="BE2" s="8" t="s">
        <v>62</v>
      </c>
      <c r="BF2" s="6">
        <v>120.771609190973</v>
      </c>
      <c r="BG2" s="8" t="s">
        <v>63</v>
      </c>
      <c r="BH2" s="7"/>
    </row>
    <row r="3" spans="1:60" x14ac:dyDescent="0.15">
      <c r="A3" s="9" t="s">
        <v>64</v>
      </c>
      <c r="B3" s="10">
        <v>1</v>
      </c>
      <c r="C3" s="11">
        <v>1</v>
      </c>
      <c r="D3" s="11">
        <v>0</v>
      </c>
      <c r="E3" s="11">
        <v>4.9712230215827304</v>
      </c>
      <c r="F3" s="11">
        <v>2.0872392498422401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18</v>
      </c>
      <c r="V3" s="12"/>
      <c r="W3" s="12"/>
      <c r="X3" s="12"/>
      <c r="Y3" s="12"/>
      <c r="Z3" s="11">
        <v>3.1808510411065098</v>
      </c>
      <c r="AA3" s="12"/>
      <c r="AB3" s="11">
        <v>3.1742484159767601</v>
      </c>
      <c r="AC3" s="11">
        <v>3.1808510411065098</v>
      </c>
      <c r="AD3" s="11">
        <v>3.1808510411065098</v>
      </c>
      <c r="AE3" s="11">
        <v>5.27053262502886</v>
      </c>
      <c r="AF3" s="11">
        <v>4.9712230215827304</v>
      </c>
      <c r="AG3" s="11">
        <v>2.0872392498422401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1">
        <v>1</v>
      </c>
      <c r="BA3" s="11">
        <v>1</v>
      </c>
      <c r="BB3" s="13" t="s">
        <v>60</v>
      </c>
      <c r="BC3" s="13" t="s">
        <v>61</v>
      </c>
      <c r="BD3" s="12"/>
      <c r="BE3" s="13" t="s">
        <v>62</v>
      </c>
      <c r="BF3" s="11">
        <v>120.771609190973</v>
      </c>
      <c r="BG3" s="13" t="s">
        <v>63</v>
      </c>
      <c r="BH3" s="12"/>
    </row>
    <row r="4" spans="1:60" x14ac:dyDescent="0.15">
      <c r="A4" s="9" t="s">
        <v>65</v>
      </c>
      <c r="B4" s="10">
        <v>2</v>
      </c>
      <c r="C4" s="11">
        <v>2</v>
      </c>
      <c r="D4" s="11">
        <v>0</v>
      </c>
      <c r="E4" s="11">
        <v>5</v>
      </c>
      <c r="F4" s="11">
        <v>2.4386932090856099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11</v>
      </c>
      <c r="V4" s="12"/>
      <c r="W4" s="12"/>
      <c r="X4" s="12"/>
      <c r="Y4" s="12"/>
      <c r="Z4" s="11">
        <v>5.2799035001080501</v>
      </c>
      <c r="AA4" s="12"/>
      <c r="AB4" s="11">
        <v>5.2733377080876398</v>
      </c>
      <c r="AC4" s="11">
        <v>5.2799035001080501</v>
      </c>
      <c r="AD4" s="11">
        <v>5.2799035001080501</v>
      </c>
      <c r="AE4" s="11">
        <v>7.7208771661389601</v>
      </c>
      <c r="AF4" s="11">
        <v>5</v>
      </c>
      <c r="AG4" s="11">
        <v>2.4386932090856099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1">
        <v>1</v>
      </c>
      <c r="BA4" s="11">
        <v>1</v>
      </c>
      <c r="BB4" s="13" t="s">
        <v>60</v>
      </c>
      <c r="BC4" s="13" t="s">
        <v>61</v>
      </c>
      <c r="BD4" s="12"/>
      <c r="BE4" s="13" t="s">
        <v>62</v>
      </c>
      <c r="BF4" s="11">
        <v>120.771609190973</v>
      </c>
      <c r="BG4" s="13" t="s">
        <v>63</v>
      </c>
      <c r="BH4" s="12"/>
    </row>
    <row r="5" spans="1:60" x14ac:dyDescent="0.15">
      <c r="A5" s="9" t="s">
        <v>66</v>
      </c>
      <c r="B5" s="10">
        <v>3</v>
      </c>
      <c r="C5" s="11">
        <v>3</v>
      </c>
      <c r="D5" s="11">
        <v>0</v>
      </c>
      <c r="E5" s="11">
        <v>1.0395683453237401</v>
      </c>
      <c r="F5" s="11">
        <v>2.3388094580732299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1</v>
      </c>
      <c r="V5" s="12"/>
      <c r="W5" s="12"/>
      <c r="X5" s="12"/>
      <c r="Y5" s="12"/>
      <c r="Z5" s="11">
        <v>7.7292315410450101</v>
      </c>
      <c r="AA5" s="12"/>
      <c r="AB5" s="11">
        <v>7.7226922081317797</v>
      </c>
      <c r="AC5" s="11">
        <v>7.7292315410450101</v>
      </c>
      <c r="AD5" s="11">
        <v>7.7292315410450101</v>
      </c>
      <c r="AE5" s="11">
        <v>10.0708282911219</v>
      </c>
      <c r="AF5" s="11">
        <v>1.0395683453237401</v>
      </c>
      <c r="AG5" s="11">
        <v>2.3388094580732299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1">
        <v>1</v>
      </c>
      <c r="BA5" s="11">
        <v>1</v>
      </c>
      <c r="BB5" s="13" t="s">
        <v>60</v>
      </c>
      <c r="BC5" s="13" t="s">
        <v>61</v>
      </c>
      <c r="BD5" s="12"/>
      <c r="BE5" s="13" t="s">
        <v>62</v>
      </c>
      <c r="BF5" s="11">
        <v>120.771609190973</v>
      </c>
      <c r="BG5" s="13" t="s">
        <v>63</v>
      </c>
      <c r="BH5" s="12"/>
    </row>
    <row r="6" spans="1:60" x14ac:dyDescent="0.15">
      <c r="A6" s="9" t="s">
        <v>67</v>
      </c>
      <c r="B6" s="10">
        <v>4</v>
      </c>
      <c r="C6" s="11">
        <v>4</v>
      </c>
      <c r="D6" s="11">
        <v>0</v>
      </c>
      <c r="E6" s="11">
        <v>1.0395683453237401</v>
      </c>
      <c r="F6" s="11">
        <v>1.2714196669403499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16</v>
      </c>
      <c r="V6" s="12"/>
      <c r="W6" s="12"/>
      <c r="X6" s="12"/>
      <c r="Y6" s="12"/>
      <c r="Z6" s="11">
        <v>10.0799817082006</v>
      </c>
      <c r="AA6" s="12"/>
      <c r="AB6" s="11">
        <v>10.0735213751905</v>
      </c>
      <c r="AC6" s="11">
        <v>10.0799817082006</v>
      </c>
      <c r="AD6" s="11">
        <v>10.0799817082006</v>
      </c>
      <c r="AE6" s="11">
        <v>11.3541653749999</v>
      </c>
      <c r="AF6" s="11">
        <v>1.0395683453237401</v>
      </c>
      <c r="AG6" s="11">
        <v>1.2714196669403499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1">
        <v>1</v>
      </c>
      <c r="BA6" s="11">
        <v>1</v>
      </c>
      <c r="BB6" s="13" t="s">
        <v>60</v>
      </c>
      <c r="BC6" s="13" t="s">
        <v>61</v>
      </c>
      <c r="BD6" s="12"/>
      <c r="BE6" s="13" t="s">
        <v>62</v>
      </c>
      <c r="BF6" s="11">
        <v>120.771609190973</v>
      </c>
      <c r="BG6" s="13" t="s">
        <v>63</v>
      </c>
      <c r="BH6" s="12"/>
    </row>
    <row r="7" spans="1:60" x14ac:dyDescent="0.15">
      <c r="A7" s="9" t="s">
        <v>68</v>
      </c>
      <c r="B7" s="10">
        <v>5</v>
      </c>
      <c r="C7" s="11">
        <v>5</v>
      </c>
      <c r="D7" s="11">
        <v>0</v>
      </c>
      <c r="E7" s="11">
        <v>1.0395683453237401</v>
      </c>
      <c r="F7" s="11">
        <v>1.7562687501776999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17</v>
      </c>
      <c r="V7" s="12"/>
      <c r="W7" s="12"/>
      <c r="X7" s="12"/>
      <c r="Y7" s="12"/>
      <c r="Z7" s="11">
        <v>11.362748125102399</v>
      </c>
      <c r="AA7" s="12"/>
      <c r="AB7" s="11">
        <v>11.3561733751558</v>
      </c>
      <c r="AC7" s="11">
        <v>11.362748125102399</v>
      </c>
      <c r="AD7" s="11">
        <v>11.362748125102399</v>
      </c>
      <c r="AE7" s="11">
        <v>13.119708791142299</v>
      </c>
      <c r="AF7" s="11">
        <v>1.0395683453237401</v>
      </c>
      <c r="AG7" s="11">
        <v>1.7562687501776999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1">
        <v>1</v>
      </c>
      <c r="BA7" s="11">
        <v>1</v>
      </c>
      <c r="BB7" s="13" t="s">
        <v>60</v>
      </c>
      <c r="BC7" s="13" t="s">
        <v>61</v>
      </c>
      <c r="BD7" s="12"/>
      <c r="BE7" s="13" t="s">
        <v>62</v>
      </c>
      <c r="BF7" s="11">
        <v>120.771609190973</v>
      </c>
      <c r="BG7" s="13" t="s">
        <v>63</v>
      </c>
      <c r="BH7" s="12"/>
    </row>
    <row r="8" spans="1:60" x14ac:dyDescent="0.15">
      <c r="A8" s="9" t="s">
        <v>69</v>
      </c>
      <c r="B8" s="10">
        <v>6</v>
      </c>
      <c r="C8" s="11">
        <v>6</v>
      </c>
      <c r="D8" s="11">
        <v>0</v>
      </c>
      <c r="E8" s="11">
        <v>1.0395683453237401</v>
      </c>
      <c r="F8" s="11">
        <v>0.88992891693487797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8</v>
      </c>
      <c r="V8" s="12"/>
      <c r="W8" s="12"/>
      <c r="X8" s="12"/>
      <c r="Y8" s="12"/>
      <c r="Z8" s="11">
        <v>13.1288431251887</v>
      </c>
      <c r="AA8" s="12"/>
      <c r="AB8" s="11">
        <v>13.121835125144599</v>
      </c>
      <c r="AC8" s="11">
        <v>13.1288431251887</v>
      </c>
      <c r="AD8" s="11">
        <v>13.1288431251887</v>
      </c>
      <c r="AE8" s="11">
        <v>14.0208462080918</v>
      </c>
      <c r="AF8" s="11">
        <v>1.0395683453237401</v>
      </c>
      <c r="AG8" s="11">
        <v>0.88992891693487797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1">
        <v>1</v>
      </c>
      <c r="BA8" s="11">
        <v>1</v>
      </c>
      <c r="BB8" s="13" t="s">
        <v>60</v>
      </c>
      <c r="BC8" s="13" t="s">
        <v>61</v>
      </c>
      <c r="BD8" s="12"/>
      <c r="BE8" s="13" t="s">
        <v>62</v>
      </c>
      <c r="BF8" s="11">
        <v>120.771609190973</v>
      </c>
      <c r="BG8" s="13" t="s">
        <v>63</v>
      </c>
      <c r="BH8" s="12"/>
    </row>
    <row r="9" spans="1:60" x14ac:dyDescent="0.15">
      <c r="A9" s="9" t="s">
        <v>70</v>
      </c>
      <c r="B9" s="10">
        <v>7</v>
      </c>
      <c r="C9" s="11">
        <v>7</v>
      </c>
      <c r="D9" s="11">
        <v>0</v>
      </c>
      <c r="E9" s="11">
        <v>1.0395683453237401</v>
      </c>
      <c r="F9" s="11">
        <v>0.82175312493927799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2</v>
      </c>
      <c r="V9" s="12"/>
      <c r="W9" s="12"/>
      <c r="X9" s="12"/>
      <c r="Y9" s="12"/>
      <c r="Z9" s="11">
        <v>14.0301721661817</v>
      </c>
      <c r="AA9" s="12"/>
      <c r="AB9" s="11">
        <v>14.023482582997501</v>
      </c>
      <c r="AC9" s="11">
        <v>14.0301721661817</v>
      </c>
      <c r="AD9" s="11">
        <v>14.0301721661817</v>
      </c>
      <c r="AE9" s="11">
        <v>14.854243791196501</v>
      </c>
      <c r="AF9" s="11">
        <v>1.0395683453237401</v>
      </c>
      <c r="AG9" s="11">
        <v>0.82175312493927799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1">
        <v>1</v>
      </c>
      <c r="BA9" s="11">
        <v>1</v>
      </c>
      <c r="BB9" s="13" t="s">
        <v>60</v>
      </c>
      <c r="BC9" s="13" t="s">
        <v>61</v>
      </c>
      <c r="BD9" s="12"/>
      <c r="BE9" s="13" t="s">
        <v>62</v>
      </c>
      <c r="BF9" s="11">
        <v>120.771609190973</v>
      </c>
      <c r="BG9" s="13" t="s">
        <v>63</v>
      </c>
      <c r="BH9" s="12"/>
    </row>
    <row r="10" spans="1:60" x14ac:dyDescent="0.15">
      <c r="A10" s="9" t="s">
        <v>71</v>
      </c>
      <c r="B10" s="10">
        <v>8</v>
      </c>
      <c r="C10" s="11">
        <v>8</v>
      </c>
      <c r="D10" s="11">
        <v>0</v>
      </c>
      <c r="E10" s="11">
        <v>1.0395683453237401</v>
      </c>
      <c r="F10" s="11">
        <v>0.90507599990814902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19</v>
      </c>
      <c r="V10" s="12"/>
      <c r="W10" s="12"/>
      <c r="X10" s="12"/>
      <c r="Y10" s="12"/>
      <c r="Z10" s="11">
        <v>14.8632962501142</v>
      </c>
      <c r="AA10" s="12"/>
      <c r="AB10" s="11">
        <v>14.856856333091899</v>
      </c>
      <c r="AC10" s="11">
        <v>14.8632962501142</v>
      </c>
      <c r="AD10" s="11">
        <v>14.8632962501142</v>
      </c>
      <c r="AE10" s="11">
        <v>15.7708586661611</v>
      </c>
      <c r="AF10" s="11">
        <v>1.0395683453237401</v>
      </c>
      <c r="AG10" s="11">
        <v>0.90507599990814902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1">
        <v>1</v>
      </c>
      <c r="BA10" s="11">
        <v>1</v>
      </c>
      <c r="BB10" s="13" t="s">
        <v>60</v>
      </c>
      <c r="BC10" s="13" t="s">
        <v>61</v>
      </c>
      <c r="BD10" s="12"/>
      <c r="BE10" s="13" t="s">
        <v>62</v>
      </c>
      <c r="BF10" s="11">
        <v>120.771609190973</v>
      </c>
      <c r="BG10" s="13" t="s">
        <v>63</v>
      </c>
      <c r="BH10" s="12"/>
    </row>
    <row r="11" spans="1:60" x14ac:dyDescent="0.15">
      <c r="A11" s="9" t="s">
        <v>72</v>
      </c>
      <c r="B11" s="10">
        <v>9</v>
      </c>
      <c r="C11" s="11">
        <v>9</v>
      </c>
      <c r="D11" s="11">
        <v>0</v>
      </c>
      <c r="E11" s="11">
        <v>1.0395683453237401</v>
      </c>
      <c r="F11" s="11">
        <v>0.63874875009059895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0</v>
      </c>
      <c r="V11" s="12"/>
      <c r="W11" s="12"/>
      <c r="X11" s="12"/>
      <c r="Y11" s="12"/>
      <c r="Z11" s="11">
        <v>15.779264874989201</v>
      </c>
      <c r="AA11" s="12"/>
      <c r="AB11" s="11">
        <v>15.772648333106201</v>
      </c>
      <c r="AC11" s="11">
        <v>15.779264874989201</v>
      </c>
      <c r="AD11" s="11">
        <v>15.779264874989201</v>
      </c>
      <c r="AE11" s="11">
        <v>16.4207334159873</v>
      </c>
      <c r="AF11" s="11">
        <v>1.0395683453237401</v>
      </c>
      <c r="AG11" s="11">
        <v>0.63874875009059895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1">
        <v>1</v>
      </c>
      <c r="BA11" s="11">
        <v>1</v>
      </c>
      <c r="BB11" s="13" t="s">
        <v>60</v>
      </c>
      <c r="BC11" s="13" t="s">
        <v>61</v>
      </c>
      <c r="BD11" s="12"/>
      <c r="BE11" s="13" t="s">
        <v>62</v>
      </c>
      <c r="BF11" s="11">
        <v>120.771609190973</v>
      </c>
      <c r="BG11" s="13" t="s">
        <v>63</v>
      </c>
      <c r="BH11" s="12"/>
    </row>
    <row r="12" spans="1:60" x14ac:dyDescent="0.15">
      <c r="A12" s="9" t="s">
        <v>73</v>
      </c>
      <c r="B12" s="10">
        <v>10</v>
      </c>
      <c r="C12" s="11">
        <v>10</v>
      </c>
      <c r="D12" s="11">
        <v>0</v>
      </c>
      <c r="E12" s="11">
        <v>1.0395683453237401</v>
      </c>
      <c r="F12" s="11">
        <v>1.1882110000588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14</v>
      </c>
      <c r="V12" s="12"/>
      <c r="W12" s="12"/>
      <c r="X12" s="12"/>
      <c r="Y12" s="12"/>
      <c r="Z12" s="11">
        <v>16.429895833134701</v>
      </c>
      <c r="AA12" s="12"/>
      <c r="AB12" s="11">
        <v>16.423165416112202</v>
      </c>
      <c r="AC12" s="11">
        <v>16.429895833134701</v>
      </c>
      <c r="AD12" s="11">
        <v>16.429895833134701</v>
      </c>
      <c r="AE12" s="11">
        <v>17.620324791176198</v>
      </c>
      <c r="AF12" s="11">
        <v>1.0395683453237401</v>
      </c>
      <c r="AG12" s="11">
        <v>1.1882110000588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1">
        <v>1</v>
      </c>
      <c r="BA12" s="11">
        <v>1</v>
      </c>
      <c r="BB12" s="13" t="s">
        <v>60</v>
      </c>
      <c r="BC12" s="13" t="s">
        <v>61</v>
      </c>
      <c r="BD12" s="12"/>
      <c r="BE12" s="13" t="s">
        <v>62</v>
      </c>
      <c r="BF12" s="11">
        <v>120.771609190973</v>
      </c>
      <c r="BG12" s="13" t="s">
        <v>63</v>
      </c>
      <c r="BH12" s="12"/>
    </row>
    <row r="13" spans="1:60" x14ac:dyDescent="0.15">
      <c r="A13" s="9" t="s">
        <v>74</v>
      </c>
      <c r="B13" s="10">
        <v>11</v>
      </c>
      <c r="C13" s="11">
        <v>11</v>
      </c>
      <c r="D13" s="11">
        <v>0</v>
      </c>
      <c r="E13" s="11">
        <v>4.9712230215827304</v>
      </c>
      <c r="F13" s="11">
        <v>2.5226711251307301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13</v>
      </c>
      <c r="V13" s="12"/>
      <c r="W13" s="12"/>
      <c r="X13" s="12"/>
      <c r="Y13" s="12"/>
      <c r="Z13" s="11">
        <v>17.628936541033902</v>
      </c>
      <c r="AA13" s="12"/>
      <c r="AB13" s="11">
        <v>17.6222682499792</v>
      </c>
      <c r="AC13" s="11">
        <v>17.628936541033902</v>
      </c>
      <c r="AD13" s="11">
        <v>17.628936541033902</v>
      </c>
      <c r="AE13" s="11">
        <v>20.154208375141</v>
      </c>
      <c r="AF13" s="11">
        <v>4.9712230215827304</v>
      </c>
      <c r="AG13" s="11">
        <v>2.5226711251307301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1">
        <v>1</v>
      </c>
      <c r="BA13" s="11">
        <v>1</v>
      </c>
      <c r="BB13" s="13" t="s">
        <v>60</v>
      </c>
      <c r="BC13" s="13" t="s">
        <v>61</v>
      </c>
      <c r="BD13" s="12"/>
      <c r="BE13" s="13" t="s">
        <v>62</v>
      </c>
      <c r="BF13" s="11">
        <v>120.771609190973</v>
      </c>
      <c r="BG13" s="13" t="s">
        <v>63</v>
      </c>
      <c r="BH13" s="12"/>
    </row>
    <row r="14" spans="1:60" x14ac:dyDescent="0.15">
      <c r="A14" s="9" t="s">
        <v>75</v>
      </c>
      <c r="B14" s="10">
        <v>12</v>
      </c>
      <c r="C14" s="11">
        <v>12</v>
      </c>
      <c r="D14" s="11">
        <v>0</v>
      </c>
      <c r="E14" s="11">
        <v>1</v>
      </c>
      <c r="F14" s="11">
        <v>2.2225125841796398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7</v>
      </c>
      <c r="V14" s="12"/>
      <c r="W14" s="12"/>
      <c r="X14" s="12"/>
      <c r="Y14" s="12"/>
      <c r="Z14" s="11">
        <v>20.162531291134702</v>
      </c>
      <c r="AA14" s="12"/>
      <c r="AB14" s="11">
        <v>20.155976125039199</v>
      </c>
      <c r="AC14" s="11">
        <v>20.162531291134702</v>
      </c>
      <c r="AD14" s="11">
        <v>20.162531291134702</v>
      </c>
      <c r="AE14" s="11">
        <v>22.3875105830375</v>
      </c>
      <c r="AF14" s="11">
        <v>1</v>
      </c>
      <c r="AG14" s="11">
        <v>2.2225125841796398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1">
        <v>1</v>
      </c>
      <c r="BA14" s="11">
        <v>1</v>
      </c>
      <c r="BB14" s="13" t="s">
        <v>60</v>
      </c>
      <c r="BC14" s="13" t="s">
        <v>61</v>
      </c>
      <c r="BD14" s="12"/>
      <c r="BE14" s="13" t="s">
        <v>62</v>
      </c>
      <c r="BF14" s="11">
        <v>120.771609190973</v>
      </c>
      <c r="BG14" s="13" t="s">
        <v>63</v>
      </c>
      <c r="BH14" s="12"/>
    </row>
    <row r="15" spans="1:60" x14ac:dyDescent="0.15">
      <c r="A15" s="9" t="s">
        <v>76</v>
      </c>
      <c r="B15" s="10">
        <v>13</v>
      </c>
      <c r="C15" s="11">
        <v>13</v>
      </c>
      <c r="D15" s="11">
        <v>0</v>
      </c>
      <c r="E15" s="11">
        <v>1</v>
      </c>
      <c r="F15" s="11">
        <v>0.78909583389759097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6</v>
      </c>
      <c r="V15" s="12"/>
      <c r="W15" s="12"/>
      <c r="X15" s="12"/>
      <c r="Y15" s="12"/>
      <c r="Z15" s="11">
        <v>22.396078166086198</v>
      </c>
      <c r="AA15" s="12"/>
      <c r="AB15" s="11">
        <v>22.389367666095499</v>
      </c>
      <c r="AC15" s="11">
        <v>22.396078166086198</v>
      </c>
      <c r="AD15" s="11">
        <v>22.396078166086198</v>
      </c>
      <c r="AE15" s="11">
        <v>23.1875053751282</v>
      </c>
      <c r="AF15" s="11">
        <v>1</v>
      </c>
      <c r="AG15" s="11">
        <v>0.78909583389759097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1">
        <v>1</v>
      </c>
      <c r="BA15" s="11">
        <v>1</v>
      </c>
      <c r="BB15" s="13" t="s">
        <v>60</v>
      </c>
      <c r="BC15" s="13" t="s">
        <v>61</v>
      </c>
      <c r="BD15" s="12"/>
      <c r="BE15" s="13" t="s">
        <v>62</v>
      </c>
      <c r="BF15" s="11">
        <v>120.771609190973</v>
      </c>
      <c r="BG15" s="13" t="s">
        <v>63</v>
      </c>
      <c r="BH15" s="12"/>
    </row>
    <row r="16" spans="1:60" x14ac:dyDescent="0.15">
      <c r="A16" s="9" t="s">
        <v>77</v>
      </c>
      <c r="B16" s="10">
        <v>14</v>
      </c>
      <c r="C16" s="11">
        <v>14</v>
      </c>
      <c r="D16" s="11">
        <v>0</v>
      </c>
      <c r="E16" s="11">
        <v>1</v>
      </c>
      <c r="F16" s="11">
        <v>0.67161945789121102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10</v>
      </c>
      <c r="V16" s="12"/>
      <c r="W16" s="12"/>
      <c r="X16" s="12"/>
      <c r="Y16" s="12"/>
      <c r="Z16" s="11">
        <v>23.196767208166399</v>
      </c>
      <c r="AA16" s="12"/>
      <c r="AB16" s="11">
        <v>23.190065875183802</v>
      </c>
      <c r="AC16" s="11">
        <v>23.196767208166399</v>
      </c>
      <c r="AD16" s="11">
        <v>23.196767208166399</v>
      </c>
      <c r="AE16" s="11">
        <v>23.870718333171698</v>
      </c>
      <c r="AF16" s="11">
        <v>1</v>
      </c>
      <c r="AG16" s="11">
        <v>0.67161945789121102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1">
        <v>1</v>
      </c>
      <c r="BA16" s="11">
        <v>1</v>
      </c>
      <c r="BB16" s="13" t="s">
        <v>60</v>
      </c>
      <c r="BC16" s="13" t="s">
        <v>61</v>
      </c>
      <c r="BD16" s="12"/>
      <c r="BE16" s="13" t="s">
        <v>62</v>
      </c>
      <c r="BF16" s="11">
        <v>120.771609190973</v>
      </c>
      <c r="BG16" s="13" t="s">
        <v>63</v>
      </c>
      <c r="BH16" s="12"/>
    </row>
    <row r="17" spans="1:60" x14ac:dyDescent="0.15">
      <c r="A17" s="9" t="s">
        <v>78</v>
      </c>
      <c r="B17" s="10">
        <v>15</v>
      </c>
      <c r="C17" s="11">
        <v>15</v>
      </c>
      <c r="D17" s="11">
        <v>0</v>
      </c>
      <c r="E17" s="11">
        <v>1</v>
      </c>
      <c r="F17" s="11">
        <v>0.80612370907329001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>
        <v>0</v>
      </c>
      <c r="S17" s="11">
        <v>15</v>
      </c>
      <c r="T17" s="11">
        <v>15</v>
      </c>
      <c r="U17" s="11">
        <v>5</v>
      </c>
      <c r="V17" s="12"/>
      <c r="W17" s="12"/>
      <c r="X17" s="12"/>
      <c r="Y17" s="12"/>
      <c r="Z17" s="11">
        <v>23.8787278751843</v>
      </c>
      <c r="AA17" s="12"/>
      <c r="AB17" s="11">
        <v>23.872299791080899</v>
      </c>
      <c r="AC17" s="11">
        <v>23.8787278751843</v>
      </c>
      <c r="AD17" s="11">
        <v>23.8787278751843</v>
      </c>
      <c r="AE17" s="11">
        <v>24.687301540980101</v>
      </c>
      <c r="AF17" s="11">
        <v>1</v>
      </c>
      <c r="AG17" s="11">
        <v>0.80612370907329001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1">
        <v>1</v>
      </c>
      <c r="BA17" s="11">
        <v>1</v>
      </c>
      <c r="BB17" s="13" t="s">
        <v>60</v>
      </c>
      <c r="BC17" s="13" t="s">
        <v>61</v>
      </c>
      <c r="BD17" s="12"/>
      <c r="BE17" s="13" t="s">
        <v>62</v>
      </c>
      <c r="BF17" s="11">
        <v>120.771609190973</v>
      </c>
      <c r="BG17" s="13" t="s">
        <v>63</v>
      </c>
      <c r="BH17" s="12"/>
    </row>
    <row r="18" spans="1:60" x14ac:dyDescent="0.15">
      <c r="A18" s="9" t="s">
        <v>79</v>
      </c>
      <c r="B18" s="10">
        <v>16</v>
      </c>
      <c r="C18" s="11">
        <v>16</v>
      </c>
      <c r="D18" s="11">
        <v>0</v>
      </c>
      <c r="E18" s="11">
        <v>1</v>
      </c>
      <c r="F18" s="11">
        <v>0.90520083298906695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>
        <v>0</v>
      </c>
      <c r="S18" s="11">
        <v>16</v>
      </c>
      <c r="T18" s="11">
        <v>16</v>
      </c>
      <c r="U18" s="11">
        <v>3</v>
      </c>
      <c r="V18" s="12"/>
      <c r="W18" s="12"/>
      <c r="X18" s="12"/>
      <c r="Y18" s="12"/>
      <c r="Z18" s="11">
        <v>24.695693416055299</v>
      </c>
      <c r="AA18" s="12"/>
      <c r="AB18" s="11">
        <v>24.689077458111601</v>
      </c>
      <c r="AC18" s="11">
        <v>24.695693416055299</v>
      </c>
      <c r="AD18" s="11">
        <v>24.695693416055299</v>
      </c>
      <c r="AE18" s="11">
        <v>25.603732625022499</v>
      </c>
      <c r="AF18" s="11">
        <v>1</v>
      </c>
      <c r="AG18" s="11">
        <v>0.90520083298906695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1">
        <v>1</v>
      </c>
      <c r="BA18" s="11">
        <v>1</v>
      </c>
      <c r="BB18" s="13" t="s">
        <v>60</v>
      </c>
      <c r="BC18" s="13" t="s">
        <v>61</v>
      </c>
      <c r="BD18" s="12"/>
      <c r="BE18" s="13" t="s">
        <v>62</v>
      </c>
      <c r="BF18" s="11">
        <v>120.771609190973</v>
      </c>
      <c r="BG18" s="13" t="s">
        <v>63</v>
      </c>
      <c r="BH18" s="12"/>
    </row>
    <row r="19" spans="1:60" x14ac:dyDescent="0.15">
      <c r="A19" s="9" t="s">
        <v>80</v>
      </c>
      <c r="B19" s="10">
        <v>17</v>
      </c>
      <c r="C19" s="11">
        <v>17</v>
      </c>
      <c r="D19" s="11">
        <v>0</v>
      </c>
      <c r="E19" s="11">
        <v>1</v>
      </c>
      <c r="F19" s="11">
        <v>1.0732934160623699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1">
        <v>0</v>
      </c>
      <c r="S19" s="11">
        <v>17</v>
      </c>
      <c r="T19" s="11">
        <v>17</v>
      </c>
      <c r="U19" s="11">
        <v>15</v>
      </c>
      <c r="V19" s="12"/>
      <c r="W19" s="12"/>
      <c r="X19" s="12"/>
      <c r="Y19" s="12"/>
      <c r="Z19" s="11">
        <v>25.612142833182599</v>
      </c>
      <c r="AA19" s="12"/>
      <c r="AB19" s="11">
        <v>25.605302458163401</v>
      </c>
      <c r="AC19" s="11">
        <v>25.612142833182599</v>
      </c>
      <c r="AD19" s="11">
        <v>25.612142833182599</v>
      </c>
      <c r="AE19" s="11">
        <v>26.6874124580063</v>
      </c>
      <c r="AF19" s="11">
        <v>1</v>
      </c>
      <c r="AG19" s="11">
        <v>1.0732934160623699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1">
        <v>1</v>
      </c>
      <c r="BA19" s="11">
        <v>1</v>
      </c>
      <c r="BB19" s="13" t="s">
        <v>60</v>
      </c>
      <c r="BC19" s="13" t="s">
        <v>61</v>
      </c>
      <c r="BD19" s="12"/>
      <c r="BE19" s="13" t="s">
        <v>62</v>
      </c>
      <c r="BF19" s="11">
        <v>120.771609190973</v>
      </c>
      <c r="BG19" s="13" t="s">
        <v>63</v>
      </c>
      <c r="BH19" s="12"/>
    </row>
    <row r="20" spans="1:60" x14ac:dyDescent="0.15">
      <c r="A20" s="9" t="s">
        <v>81</v>
      </c>
      <c r="B20" s="10">
        <v>18</v>
      </c>
      <c r="C20" s="11">
        <v>18</v>
      </c>
      <c r="D20" s="11">
        <v>0</v>
      </c>
      <c r="E20" s="11">
        <v>1</v>
      </c>
      <c r="F20" s="11">
        <v>0.73952408297918704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1">
        <v>0</v>
      </c>
      <c r="S20" s="11">
        <v>18</v>
      </c>
      <c r="T20" s="11">
        <v>18</v>
      </c>
      <c r="U20" s="11">
        <v>4</v>
      </c>
      <c r="V20" s="12"/>
      <c r="W20" s="12"/>
      <c r="X20" s="12"/>
      <c r="Y20" s="12"/>
      <c r="Z20" s="11">
        <v>26.695753041189199</v>
      </c>
      <c r="AA20" s="12"/>
      <c r="AB20" s="11">
        <v>26.689069500193</v>
      </c>
      <c r="AC20" s="11">
        <v>26.695753041189199</v>
      </c>
      <c r="AD20" s="11">
        <v>26.695753041189199</v>
      </c>
      <c r="AE20" s="11">
        <v>27.437434250023198</v>
      </c>
      <c r="AF20" s="11">
        <v>1</v>
      </c>
      <c r="AG20" s="11">
        <v>0.73952408297918704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1">
        <v>1</v>
      </c>
      <c r="BA20" s="11">
        <v>1</v>
      </c>
      <c r="BB20" s="13" t="s">
        <v>60</v>
      </c>
      <c r="BC20" s="13" t="s">
        <v>61</v>
      </c>
      <c r="BD20" s="12"/>
      <c r="BE20" s="13" t="s">
        <v>62</v>
      </c>
      <c r="BF20" s="11">
        <v>120.771609190973</v>
      </c>
      <c r="BG20" s="13" t="s">
        <v>63</v>
      </c>
      <c r="BH20" s="12"/>
    </row>
    <row r="21" spans="1:60" x14ac:dyDescent="0.15">
      <c r="A21" s="9" t="s">
        <v>82</v>
      </c>
      <c r="B21" s="10">
        <v>19</v>
      </c>
      <c r="C21" s="11">
        <v>19</v>
      </c>
      <c r="D21" s="11">
        <v>0</v>
      </c>
      <c r="E21" s="11">
        <v>1</v>
      </c>
      <c r="F21" s="11">
        <v>0.77243166696280197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1">
        <v>0</v>
      </c>
      <c r="S21" s="11">
        <v>19</v>
      </c>
      <c r="T21" s="11">
        <v>19</v>
      </c>
      <c r="U21" s="11">
        <v>9</v>
      </c>
      <c r="V21" s="12"/>
      <c r="W21" s="12"/>
      <c r="X21" s="12"/>
      <c r="Y21" s="12"/>
      <c r="Z21" s="11">
        <v>27.4460357911885</v>
      </c>
      <c r="AA21" s="12"/>
      <c r="AB21" s="11">
        <v>27.4393047501799</v>
      </c>
      <c r="AC21" s="11">
        <v>27.4460357911885</v>
      </c>
      <c r="AD21" s="11">
        <v>27.4460357911885</v>
      </c>
      <c r="AE21" s="11">
        <v>28.220593583071601</v>
      </c>
      <c r="AF21" s="11">
        <v>1</v>
      </c>
      <c r="AG21" s="11">
        <v>0.77243166696280197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1">
        <v>1</v>
      </c>
      <c r="BA21" s="11">
        <v>1</v>
      </c>
      <c r="BB21" s="13" t="s">
        <v>60</v>
      </c>
      <c r="BC21" s="13" t="s">
        <v>61</v>
      </c>
      <c r="BD21" s="12"/>
      <c r="BE21" s="13" t="s">
        <v>62</v>
      </c>
      <c r="BF21" s="11">
        <v>120.771609190973</v>
      </c>
      <c r="BG21" s="13" t="s">
        <v>63</v>
      </c>
      <c r="BH21" s="12"/>
    </row>
    <row r="22" spans="1:60" x14ac:dyDescent="0.15">
      <c r="A22" s="14"/>
      <c r="B22" s="10">
        <v>0</v>
      </c>
      <c r="C22" s="11">
        <v>0</v>
      </c>
      <c r="D22" s="11">
        <v>0</v>
      </c>
      <c r="E22" s="12"/>
      <c r="F22" s="12"/>
      <c r="G22" s="13" t="s">
        <v>83</v>
      </c>
      <c r="H22" s="13" t="s">
        <v>82</v>
      </c>
      <c r="I22" s="13" t="s">
        <v>84</v>
      </c>
      <c r="J22" s="13" t="s">
        <v>82</v>
      </c>
      <c r="K22" s="13" t="s">
        <v>85</v>
      </c>
      <c r="L22" s="13" t="s">
        <v>86</v>
      </c>
      <c r="M22" s="13" t="s">
        <v>87</v>
      </c>
      <c r="N22" s="13" t="s">
        <v>88</v>
      </c>
      <c r="O22" s="13" t="s">
        <v>88</v>
      </c>
      <c r="P22" s="13" t="s">
        <v>89</v>
      </c>
      <c r="Q22" s="13" t="s">
        <v>90</v>
      </c>
      <c r="R22" s="12"/>
      <c r="S22" s="12"/>
      <c r="T22" s="12"/>
      <c r="U22" s="12"/>
      <c r="V22" s="11">
        <v>0</v>
      </c>
      <c r="W22" s="11">
        <v>0</v>
      </c>
      <c r="X22" s="11">
        <v>0</v>
      </c>
      <c r="Y22" s="11">
        <v>9</v>
      </c>
      <c r="Z22" s="11">
        <v>28.239758125040701</v>
      </c>
      <c r="AA22" s="12"/>
      <c r="AB22" s="12"/>
      <c r="AC22" s="12"/>
      <c r="AD22" s="12"/>
      <c r="AE22" s="12"/>
      <c r="AF22" s="12"/>
      <c r="AG22" s="12"/>
      <c r="AH22" s="11">
        <v>28.231422333046801</v>
      </c>
      <c r="AI22" s="11">
        <v>28.239758125040701</v>
      </c>
      <c r="AJ22" s="11">
        <v>28.239758125040701</v>
      </c>
      <c r="AK22" s="11">
        <v>28.239758125040701</v>
      </c>
      <c r="AL22" s="11">
        <v>1.08415000140667E-2</v>
      </c>
      <c r="AM22" s="11">
        <v>33.679233333095901</v>
      </c>
      <c r="AN22" s="13" t="s">
        <v>82</v>
      </c>
      <c r="AO22" s="13" t="s">
        <v>85</v>
      </c>
      <c r="AP22" s="13" t="s">
        <v>86</v>
      </c>
      <c r="AQ22" s="13" t="s">
        <v>87</v>
      </c>
      <c r="AR22" s="13" t="s">
        <v>88</v>
      </c>
      <c r="AS22" s="13" t="s">
        <v>88</v>
      </c>
      <c r="AT22" s="13" t="s">
        <v>89</v>
      </c>
      <c r="AU22" s="13" t="s">
        <v>90</v>
      </c>
      <c r="AV22" s="12"/>
      <c r="AW22" s="12"/>
      <c r="AX22" s="12"/>
      <c r="AY22" s="12"/>
      <c r="AZ22" s="11">
        <v>1</v>
      </c>
      <c r="BA22" s="11">
        <v>1</v>
      </c>
      <c r="BB22" s="13" t="s">
        <v>60</v>
      </c>
      <c r="BC22" s="13" t="s">
        <v>61</v>
      </c>
      <c r="BD22" s="12"/>
      <c r="BE22" s="13" t="s">
        <v>62</v>
      </c>
      <c r="BF22" s="11">
        <v>120.771609190973</v>
      </c>
      <c r="BG22" s="13" t="s">
        <v>63</v>
      </c>
      <c r="BH22" s="12"/>
    </row>
    <row r="23" spans="1:60" x14ac:dyDescent="0.15">
      <c r="A23" s="14"/>
      <c r="B23" s="10">
        <v>1</v>
      </c>
      <c r="C23" s="11">
        <v>1</v>
      </c>
      <c r="D23" s="11">
        <v>0</v>
      </c>
      <c r="E23" s="12"/>
      <c r="F23" s="12"/>
      <c r="G23" s="20" t="s">
        <v>91</v>
      </c>
      <c r="H23" s="20" t="s">
        <v>71</v>
      </c>
      <c r="I23" s="20" t="s">
        <v>84</v>
      </c>
      <c r="J23" s="20" t="s">
        <v>92</v>
      </c>
      <c r="K23" s="13" t="s">
        <v>93</v>
      </c>
      <c r="L23" s="13" t="s">
        <v>93</v>
      </c>
      <c r="M23" s="13" t="s">
        <v>93</v>
      </c>
      <c r="N23" s="13" t="s">
        <v>93</v>
      </c>
      <c r="O23" s="13" t="s">
        <v>93</v>
      </c>
      <c r="P23" s="13" t="s">
        <v>93</v>
      </c>
      <c r="Q23" s="13" t="s">
        <v>93</v>
      </c>
      <c r="R23" s="12"/>
      <c r="S23" s="12"/>
      <c r="T23" s="12"/>
      <c r="U23" s="12"/>
      <c r="V23" s="11">
        <v>0</v>
      </c>
      <c r="W23" s="11">
        <v>1</v>
      </c>
      <c r="X23" s="11">
        <v>1</v>
      </c>
      <c r="Y23" s="11">
        <v>19</v>
      </c>
      <c r="Z23" s="11">
        <v>33.690779291093399</v>
      </c>
      <c r="AA23" s="12"/>
      <c r="AB23" s="12"/>
      <c r="AC23" s="12"/>
      <c r="AD23" s="12"/>
      <c r="AE23" s="12"/>
      <c r="AF23" s="12"/>
      <c r="AG23" s="12"/>
      <c r="AH23" s="11">
        <v>33.6814289581962</v>
      </c>
      <c r="AI23" s="11">
        <v>33.690779291093399</v>
      </c>
      <c r="AJ23" s="11">
        <v>33.690779291093399</v>
      </c>
      <c r="AK23" s="11">
        <v>33.690779291093399</v>
      </c>
      <c r="AL23" s="11">
        <v>2.0650839433074002E-3</v>
      </c>
      <c r="AM23" s="11">
        <v>43.678656625095797</v>
      </c>
      <c r="AN23" s="13" t="s">
        <v>92</v>
      </c>
      <c r="AO23" s="13" t="s">
        <v>93</v>
      </c>
      <c r="AP23" s="13" t="s">
        <v>93</v>
      </c>
      <c r="AQ23" s="13" t="s">
        <v>93</v>
      </c>
      <c r="AR23" s="13" t="s">
        <v>93</v>
      </c>
      <c r="AS23" s="13" t="s">
        <v>93</v>
      </c>
      <c r="AT23" s="13" t="s">
        <v>93</v>
      </c>
      <c r="AU23" s="13" t="s">
        <v>93</v>
      </c>
      <c r="AV23" s="11">
        <v>43.691148875048398</v>
      </c>
      <c r="AW23" s="11">
        <v>43.691148875048398</v>
      </c>
      <c r="AX23" s="11">
        <v>43.691148875048398</v>
      </c>
      <c r="AY23" s="11">
        <v>9.99907587491907</v>
      </c>
      <c r="AZ23" s="11">
        <v>1</v>
      </c>
      <c r="BA23" s="11">
        <v>1</v>
      </c>
      <c r="BB23" s="13" t="s">
        <v>60</v>
      </c>
      <c r="BC23" s="13" t="s">
        <v>61</v>
      </c>
      <c r="BD23" s="12"/>
      <c r="BE23" s="13" t="s">
        <v>62</v>
      </c>
      <c r="BF23" s="11">
        <v>120.771609190973</v>
      </c>
      <c r="BG23" s="13" t="s">
        <v>63</v>
      </c>
      <c r="BH23" s="12"/>
    </row>
    <row r="24" spans="1:60" x14ac:dyDescent="0.15">
      <c r="A24" s="14"/>
      <c r="B24" s="10">
        <v>2</v>
      </c>
      <c r="C24" s="11">
        <v>2</v>
      </c>
      <c r="D24" s="11">
        <v>0</v>
      </c>
      <c r="E24" s="12"/>
      <c r="F24" s="12"/>
      <c r="G24" s="20" t="s">
        <v>94</v>
      </c>
      <c r="H24" s="20" t="s">
        <v>95</v>
      </c>
      <c r="I24" s="20" t="s">
        <v>96</v>
      </c>
      <c r="J24" s="21"/>
      <c r="K24" s="13" t="s">
        <v>97</v>
      </c>
      <c r="L24" s="13" t="s">
        <v>98</v>
      </c>
      <c r="M24" s="13" t="s">
        <v>87</v>
      </c>
      <c r="N24" s="13" t="s">
        <v>88</v>
      </c>
      <c r="O24" s="13" t="s">
        <v>88</v>
      </c>
      <c r="P24" s="13" t="s">
        <v>99</v>
      </c>
      <c r="Q24" s="13" t="s">
        <v>90</v>
      </c>
      <c r="R24" s="12"/>
      <c r="S24" s="12"/>
      <c r="T24" s="12"/>
      <c r="U24" s="12"/>
      <c r="V24" s="11">
        <v>0</v>
      </c>
      <c r="W24" s="11">
        <v>2</v>
      </c>
      <c r="X24" s="11">
        <v>2</v>
      </c>
      <c r="Y24" s="11">
        <v>22</v>
      </c>
      <c r="Z24" s="11">
        <v>43.691148875048398</v>
      </c>
      <c r="AA24" s="12"/>
      <c r="AB24" s="12"/>
      <c r="AC24" s="12"/>
      <c r="AD24" s="12"/>
      <c r="AE24" s="12"/>
      <c r="AF24" s="12"/>
      <c r="AG24" s="12"/>
      <c r="AH24" s="11">
        <v>43.681723040994299</v>
      </c>
      <c r="AI24" s="11">
        <v>43.691148875048398</v>
      </c>
      <c r="AJ24" s="11">
        <v>43.691148875048398</v>
      </c>
      <c r="AK24" s="11">
        <v>43.691148875048398</v>
      </c>
      <c r="AL24" s="11">
        <v>2.3614999372512102E-3</v>
      </c>
      <c r="AM24" s="11">
        <v>49.825963750015902</v>
      </c>
      <c r="AN24" s="12"/>
      <c r="AO24" s="13" t="s">
        <v>97</v>
      </c>
      <c r="AP24" s="13" t="s">
        <v>98</v>
      </c>
      <c r="AQ24" s="13" t="s">
        <v>87</v>
      </c>
      <c r="AR24" s="13" t="s">
        <v>88</v>
      </c>
      <c r="AS24" s="13" t="s">
        <v>88</v>
      </c>
      <c r="AT24" s="13" t="s">
        <v>99</v>
      </c>
      <c r="AU24" s="13" t="s">
        <v>90</v>
      </c>
      <c r="AV24" s="12"/>
      <c r="AW24" s="12"/>
      <c r="AX24" s="12"/>
      <c r="AY24" s="12"/>
      <c r="AZ24" s="11">
        <v>1</v>
      </c>
      <c r="BA24" s="11">
        <v>1</v>
      </c>
      <c r="BB24" s="13" t="s">
        <v>60</v>
      </c>
      <c r="BC24" s="13" t="s">
        <v>61</v>
      </c>
      <c r="BD24" s="12"/>
      <c r="BE24" s="13" t="s">
        <v>62</v>
      </c>
      <c r="BF24" s="11">
        <v>120.771609190973</v>
      </c>
      <c r="BG24" s="13" t="s">
        <v>63</v>
      </c>
      <c r="BH24" s="12"/>
    </row>
    <row r="25" spans="1:60" x14ac:dyDescent="0.15">
      <c r="A25" s="14"/>
      <c r="B25" s="10">
        <v>3</v>
      </c>
      <c r="C25" s="11">
        <v>3</v>
      </c>
      <c r="D25" s="11">
        <v>0</v>
      </c>
      <c r="E25" s="12"/>
      <c r="F25" s="12"/>
      <c r="G25" s="13" t="s">
        <v>100</v>
      </c>
      <c r="H25" s="13" t="s">
        <v>68</v>
      </c>
      <c r="I25" s="13" t="s">
        <v>84</v>
      </c>
      <c r="J25" s="13" t="s">
        <v>68</v>
      </c>
      <c r="K25" s="13" t="s">
        <v>101</v>
      </c>
      <c r="L25" s="13" t="s">
        <v>102</v>
      </c>
      <c r="M25" s="13" t="s">
        <v>87</v>
      </c>
      <c r="N25" s="13" t="s">
        <v>88</v>
      </c>
      <c r="O25" s="13" t="s">
        <v>88</v>
      </c>
      <c r="P25" s="13" t="s">
        <v>103</v>
      </c>
      <c r="Q25" s="13" t="s">
        <v>90</v>
      </c>
      <c r="R25" s="12"/>
      <c r="S25" s="12"/>
      <c r="T25" s="12"/>
      <c r="U25" s="12"/>
      <c r="V25" s="11">
        <v>0</v>
      </c>
      <c r="W25" s="11">
        <v>3</v>
      </c>
      <c r="X25" s="11">
        <v>3</v>
      </c>
      <c r="Y25" s="11">
        <v>17</v>
      </c>
      <c r="Z25" s="11">
        <v>49.837192500010097</v>
      </c>
      <c r="AA25" s="12"/>
      <c r="AB25" s="12"/>
      <c r="AC25" s="12"/>
      <c r="AD25" s="12"/>
      <c r="AE25" s="12"/>
      <c r="AF25" s="12"/>
      <c r="AG25" s="12"/>
      <c r="AH25" s="11">
        <v>49.827940999995903</v>
      </c>
      <c r="AI25" s="11">
        <v>49.837192500010097</v>
      </c>
      <c r="AJ25" s="11">
        <v>49.837192500010097</v>
      </c>
      <c r="AK25" s="11">
        <v>49.837192500010097</v>
      </c>
      <c r="AL25" s="11">
        <v>1.84016698040068E-3</v>
      </c>
      <c r="AM25" s="11">
        <v>55.446317000081798</v>
      </c>
      <c r="AN25" s="13" t="s">
        <v>68</v>
      </c>
      <c r="AO25" s="13" t="s">
        <v>101</v>
      </c>
      <c r="AP25" s="13" t="s">
        <v>102</v>
      </c>
      <c r="AQ25" s="13" t="s">
        <v>87</v>
      </c>
      <c r="AR25" s="13" t="s">
        <v>88</v>
      </c>
      <c r="AS25" s="13" t="s">
        <v>88</v>
      </c>
      <c r="AT25" s="13" t="s">
        <v>103</v>
      </c>
      <c r="AU25" s="13" t="s">
        <v>90</v>
      </c>
      <c r="AV25" s="12"/>
      <c r="AW25" s="12"/>
      <c r="AX25" s="12"/>
      <c r="AY25" s="12"/>
      <c r="AZ25" s="11">
        <v>1</v>
      </c>
      <c r="BA25" s="11">
        <v>1</v>
      </c>
      <c r="BB25" s="13" t="s">
        <v>60</v>
      </c>
      <c r="BC25" s="13" t="s">
        <v>61</v>
      </c>
      <c r="BD25" s="12"/>
      <c r="BE25" s="13" t="s">
        <v>62</v>
      </c>
      <c r="BF25" s="11">
        <v>120.771609190973</v>
      </c>
      <c r="BG25" s="13" t="s">
        <v>63</v>
      </c>
      <c r="BH25" s="12"/>
    </row>
    <row r="26" spans="1:60" x14ac:dyDescent="0.15">
      <c r="A26" s="14"/>
      <c r="B26" s="10">
        <v>4</v>
      </c>
      <c r="C26" s="11">
        <v>4</v>
      </c>
      <c r="D26" s="11">
        <v>0</v>
      </c>
      <c r="E26" s="12"/>
      <c r="F26" s="12"/>
      <c r="G26" s="20" t="s">
        <v>104</v>
      </c>
      <c r="H26" s="20" t="s">
        <v>70</v>
      </c>
      <c r="I26" s="20" t="s">
        <v>84</v>
      </c>
      <c r="J26" s="20" t="s">
        <v>105</v>
      </c>
      <c r="K26" s="13" t="s">
        <v>93</v>
      </c>
      <c r="L26" s="13" t="s">
        <v>93</v>
      </c>
      <c r="M26" s="13" t="s">
        <v>93</v>
      </c>
      <c r="N26" s="13" t="s">
        <v>93</v>
      </c>
      <c r="O26" s="13" t="s">
        <v>93</v>
      </c>
      <c r="P26" s="13" t="s">
        <v>93</v>
      </c>
      <c r="Q26" s="13" t="s">
        <v>93</v>
      </c>
      <c r="R26" s="12"/>
      <c r="S26" s="12"/>
      <c r="T26" s="12"/>
      <c r="U26" s="12"/>
      <c r="V26" s="11">
        <v>0</v>
      </c>
      <c r="W26" s="11">
        <v>4</v>
      </c>
      <c r="X26" s="11">
        <v>4</v>
      </c>
      <c r="Y26" s="11">
        <v>2</v>
      </c>
      <c r="Z26" s="11">
        <v>55.457816082984202</v>
      </c>
      <c r="AA26" s="12"/>
      <c r="AB26" s="12"/>
      <c r="AC26" s="12"/>
      <c r="AD26" s="12"/>
      <c r="AE26" s="12"/>
      <c r="AF26" s="12"/>
      <c r="AG26" s="12"/>
      <c r="AH26" s="11">
        <v>55.449251375161097</v>
      </c>
      <c r="AI26" s="11">
        <v>55.457816082984202</v>
      </c>
      <c r="AJ26" s="11">
        <v>55.457816082984202</v>
      </c>
      <c r="AK26" s="11">
        <v>55.457816082984202</v>
      </c>
      <c r="AL26" s="11">
        <v>2.8008751105517201E-3</v>
      </c>
      <c r="AM26" s="11">
        <v>65.444707583170398</v>
      </c>
      <c r="AN26" s="13" t="s">
        <v>105</v>
      </c>
      <c r="AO26" s="13" t="s">
        <v>93</v>
      </c>
      <c r="AP26" s="13" t="s">
        <v>93</v>
      </c>
      <c r="AQ26" s="13" t="s">
        <v>93</v>
      </c>
      <c r="AR26" s="13" t="s">
        <v>93</v>
      </c>
      <c r="AS26" s="13" t="s">
        <v>93</v>
      </c>
      <c r="AT26" s="13" t="s">
        <v>93</v>
      </c>
      <c r="AU26" s="13" t="s">
        <v>93</v>
      </c>
      <c r="AV26" s="11">
        <v>65.457434083102299</v>
      </c>
      <c r="AW26" s="11">
        <v>65.457434083102299</v>
      </c>
      <c r="AX26" s="11">
        <v>65.457434083102299</v>
      </c>
      <c r="AY26" s="11">
        <v>9.9980502091348207</v>
      </c>
      <c r="AZ26" s="11">
        <v>1</v>
      </c>
      <c r="BA26" s="11">
        <v>1</v>
      </c>
      <c r="BB26" s="13" t="s">
        <v>60</v>
      </c>
      <c r="BC26" s="13" t="s">
        <v>61</v>
      </c>
      <c r="BD26" s="12"/>
      <c r="BE26" s="13" t="s">
        <v>62</v>
      </c>
      <c r="BF26" s="11">
        <v>120.771609190973</v>
      </c>
      <c r="BG26" s="13" t="s">
        <v>63</v>
      </c>
      <c r="BH26" s="12"/>
    </row>
    <row r="27" spans="1:60" x14ac:dyDescent="0.15">
      <c r="A27" s="14"/>
      <c r="B27" s="10">
        <v>5</v>
      </c>
      <c r="C27" s="11">
        <v>5</v>
      </c>
      <c r="D27" s="11">
        <v>0</v>
      </c>
      <c r="E27" s="12"/>
      <c r="F27" s="12"/>
      <c r="G27" s="13" t="s">
        <v>106</v>
      </c>
      <c r="H27" s="13" t="s">
        <v>107</v>
      </c>
      <c r="I27" s="13" t="s">
        <v>96</v>
      </c>
      <c r="J27" s="13" t="s">
        <v>107</v>
      </c>
      <c r="K27" s="13" t="s">
        <v>108</v>
      </c>
      <c r="L27" s="13" t="s">
        <v>109</v>
      </c>
      <c r="M27" s="13" t="s">
        <v>110</v>
      </c>
      <c r="N27" s="13" t="s">
        <v>111</v>
      </c>
      <c r="O27" s="13" t="s">
        <v>111</v>
      </c>
      <c r="P27" s="13" t="s">
        <v>112</v>
      </c>
      <c r="Q27" s="13" t="s">
        <v>113</v>
      </c>
      <c r="R27" s="12"/>
      <c r="S27" s="12"/>
      <c r="T27" s="12"/>
      <c r="U27" s="12"/>
      <c r="V27" s="11">
        <v>0</v>
      </c>
      <c r="W27" s="11">
        <v>5</v>
      </c>
      <c r="X27" s="11">
        <v>5</v>
      </c>
      <c r="Y27" s="11">
        <v>23</v>
      </c>
      <c r="Z27" s="11">
        <v>65.457434083102299</v>
      </c>
      <c r="AA27" s="12"/>
      <c r="AB27" s="12"/>
      <c r="AC27" s="12"/>
      <c r="AD27" s="12"/>
      <c r="AE27" s="12"/>
      <c r="AF27" s="12"/>
      <c r="AG27" s="12"/>
      <c r="AH27" s="11">
        <v>65.447311250027298</v>
      </c>
      <c r="AI27" s="11">
        <v>65.457434083102299</v>
      </c>
      <c r="AJ27" s="11">
        <v>65.457434083102299</v>
      </c>
      <c r="AK27" s="11">
        <v>65.457434083102299</v>
      </c>
      <c r="AL27" s="11">
        <v>8.6416699923574903E-4</v>
      </c>
      <c r="AM27" s="11">
        <v>70.829160916153299</v>
      </c>
      <c r="AN27" s="13" t="s">
        <v>107</v>
      </c>
      <c r="AO27" s="13" t="s">
        <v>108</v>
      </c>
      <c r="AP27" s="13" t="s">
        <v>109</v>
      </c>
      <c r="AQ27" s="13" t="s">
        <v>110</v>
      </c>
      <c r="AR27" s="13" t="s">
        <v>111</v>
      </c>
      <c r="AS27" s="13" t="s">
        <v>111</v>
      </c>
      <c r="AT27" s="13" t="s">
        <v>112</v>
      </c>
      <c r="AU27" s="13" t="s">
        <v>113</v>
      </c>
      <c r="AV27" s="12"/>
      <c r="AW27" s="12"/>
      <c r="AX27" s="12"/>
      <c r="AY27" s="12"/>
      <c r="AZ27" s="11">
        <v>1</v>
      </c>
      <c r="BA27" s="11">
        <v>1</v>
      </c>
      <c r="BB27" s="13" t="s">
        <v>60</v>
      </c>
      <c r="BC27" s="13" t="s">
        <v>61</v>
      </c>
      <c r="BD27" s="12"/>
      <c r="BE27" s="13" t="s">
        <v>62</v>
      </c>
      <c r="BF27" s="11">
        <v>120.771609190973</v>
      </c>
      <c r="BG27" s="13" t="s">
        <v>63</v>
      </c>
      <c r="BH27" s="12"/>
    </row>
    <row r="28" spans="1:60" x14ac:dyDescent="0.15">
      <c r="A28" s="14"/>
      <c r="B28" s="10">
        <v>6</v>
      </c>
      <c r="C28" s="11">
        <v>6</v>
      </c>
      <c r="D28" s="11">
        <v>0</v>
      </c>
      <c r="E28" s="12"/>
      <c r="F28" s="12"/>
      <c r="G28" s="13" t="s">
        <v>114</v>
      </c>
      <c r="H28" s="13" t="s">
        <v>73</v>
      </c>
      <c r="I28" s="13" t="s">
        <v>84</v>
      </c>
      <c r="J28" s="13" t="s">
        <v>73</v>
      </c>
      <c r="K28" s="13" t="s">
        <v>115</v>
      </c>
      <c r="L28" s="13" t="s">
        <v>116</v>
      </c>
      <c r="M28" s="13" t="s">
        <v>87</v>
      </c>
      <c r="N28" s="13" t="s">
        <v>88</v>
      </c>
      <c r="O28" s="13" t="s">
        <v>88</v>
      </c>
      <c r="P28" s="13" t="s">
        <v>117</v>
      </c>
      <c r="Q28" s="13" t="s">
        <v>90</v>
      </c>
      <c r="R28" s="12"/>
      <c r="S28" s="12"/>
      <c r="T28" s="12"/>
      <c r="U28" s="12"/>
      <c r="V28" s="11">
        <v>0</v>
      </c>
      <c r="W28" s="11">
        <v>6</v>
      </c>
      <c r="X28" s="11">
        <v>6</v>
      </c>
      <c r="Y28" s="11">
        <v>14</v>
      </c>
      <c r="Z28" s="11">
        <v>70.8410382079892</v>
      </c>
      <c r="AA28" s="12"/>
      <c r="AB28" s="12"/>
      <c r="AC28" s="12"/>
      <c r="AD28" s="12"/>
      <c r="AE28" s="12"/>
      <c r="AF28" s="12"/>
      <c r="AG28" s="12"/>
      <c r="AH28" s="11">
        <v>70.831382000120399</v>
      </c>
      <c r="AI28" s="11">
        <v>70.8410382079892</v>
      </c>
      <c r="AJ28" s="11">
        <v>70.8410382079892</v>
      </c>
      <c r="AK28" s="11">
        <v>70.8410382079892</v>
      </c>
      <c r="AL28" s="11">
        <v>2.0844170358032001E-3</v>
      </c>
      <c r="AM28" s="11">
        <v>75.196531082969202</v>
      </c>
      <c r="AN28" s="13" t="s">
        <v>73</v>
      </c>
      <c r="AO28" s="13" t="s">
        <v>115</v>
      </c>
      <c r="AP28" s="13" t="s">
        <v>116</v>
      </c>
      <c r="AQ28" s="13" t="s">
        <v>87</v>
      </c>
      <c r="AR28" s="13" t="s">
        <v>88</v>
      </c>
      <c r="AS28" s="13" t="s">
        <v>88</v>
      </c>
      <c r="AT28" s="13" t="s">
        <v>117</v>
      </c>
      <c r="AU28" s="13" t="s">
        <v>90</v>
      </c>
      <c r="AV28" s="12"/>
      <c r="AW28" s="12"/>
      <c r="AX28" s="12"/>
      <c r="AY28" s="12"/>
      <c r="AZ28" s="11">
        <v>1</v>
      </c>
      <c r="BA28" s="11">
        <v>1</v>
      </c>
      <c r="BB28" s="13" t="s">
        <v>60</v>
      </c>
      <c r="BC28" s="13" t="s">
        <v>61</v>
      </c>
      <c r="BD28" s="12"/>
      <c r="BE28" s="13" t="s">
        <v>62</v>
      </c>
      <c r="BF28" s="11">
        <v>120.771609190973</v>
      </c>
      <c r="BG28" s="13" t="s">
        <v>63</v>
      </c>
      <c r="BH28" s="12"/>
    </row>
    <row r="29" spans="1:60" x14ac:dyDescent="0.15">
      <c r="A29" s="14"/>
      <c r="B29" s="10">
        <v>7</v>
      </c>
      <c r="C29" s="11">
        <v>7</v>
      </c>
      <c r="D29" s="11">
        <v>0</v>
      </c>
      <c r="E29" s="12"/>
      <c r="F29" s="12"/>
      <c r="G29" s="20" t="s">
        <v>118</v>
      </c>
      <c r="H29" s="20" t="s">
        <v>75</v>
      </c>
      <c r="I29" s="20" t="s">
        <v>84</v>
      </c>
      <c r="J29" s="21"/>
      <c r="K29" s="13" t="s">
        <v>115</v>
      </c>
      <c r="L29" s="13" t="s">
        <v>116</v>
      </c>
      <c r="M29" s="13" t="s">
        <v>87</v>
      </c>
      <c r="N29" s="13" t="s">
        <v>88</v>
      </c>
      <c r="O29" s="13" t="s">
        <v>88</v>
      </c>
      <c r="P29" s="13" t="s">
        <v>119</v>
      </c>
      <c r="Q29" s="13" t="s">
        <v>90</v>
      </c>
      <c r="R29" s="12"/>
      <c r="S29" s="12"/>
      <c r="T29" s="12"/>
      <c r="U29" s="12"/>
      <c r="V29" s="11">
        <v>0</v>
      </c>
      <c r="W29" s="11">
        <v>7</v>
      </c>
      <c r="X29" s="11">
        <v>7</v>
      </c>
      <c r="Y29" s="11">
        <v>7</v>
      </c>
      <c r="Z29" s="11">
        <v>75.207677041180403</v>
      </c>
      <c r="AA29" s="12"/>
      <c r="AB29" s="12"/>
      <c r="AC29" s="12"/>
      <c r="AD29" s="12"/>
      <c r="AE29" s="12"/>
      <c r="AF29" s="12"/>
      <c r="AG29" s="12"/>
      <c r="AH29" s="11">
        <v>75.198876666138005</v>
      </c>
      <c r="AI29" s="11">
        <v>75.207677041180403</v>
      </c>
      <c r="AJ29" s="11">
        <v>75.207677041180403</v>
      </c>
      <c r="AK29" s="11">
        <v>75.207677041180403</v>
      </c>
      <c r="AL29" s="11">
        <v>2.2166660055518198E-3</v>
      </c>
      <c r="AM29" s="11">
        <v>80.178797041066005</v>
      </c>
      <c r="AN29" s="12"/>
      <c r="AO29" s="13" t="s">
        <v>115</v>
      </c>
      <c r="AP29" s="13" t="s">
        <v>116</v>
      </c>
      <c r="AQ29" s="13" t="s">
        <v>87</v>
      </c>
      <c r="AR29" s="13" t="s">
        <v>88</v>
      </c>
      <c r="AS29" s="13" t="s">
        <v>88</v>
      </c>
      <c r="AT29" s="13" t="s">
        <v>119</v>
      </c>
      <c r="AU29" s="13" t="s">
        <v>90</v>
      </c>
      <c r="AV29" s="12"/>
      <c r="AW29" s="12"/>
      <c r="AX29" s="12"/>
      <c r="AY29" s="12"/>
      <c r="AZ29" s="11">
        <v>1</v>
      </c>
      <c r="BA29" s="11">
        <v>1</v>
      </c>
      <c r="BB29" s="13" t="s">
        <v>60</v>
      </c>
      <c r="BC29" s="13" t="s">
        <v>61</v>
      </c>
      <c r="BD29" s="12"/>
      <c r="BE29" s="13" t="s">
        <v>62</v>
      </c>
      <c r="BF29" s="11">
        <v>120.771609190973</v>
      </c>
      <c r="BG29" s="13" t="s">
        <v>63</v>
      </c>
      <c r="BH29" s="12"/>
    </row>
    <row r="30" spans="1:60" x14ac:dyDescent="0.15">
      <c r="A30" s="14"/>
      <c r="B30" s="10">
        <v>8</v>
      </c>
      <c r="C30" s="11">
        <v>8</v>
      </c>
      <c r="D30" s="11">
        <v>0</v>
      </c>
      <c r="E30" s="12"/>
      <c r="F30" s="12"/>
      <c r="G30" s="20" t="s">
        <v>120</v>
      </c>
      <c r="H30" s="20" t="s">
        <v>121</v>
      </c>
      <c r="I30" s="20" t="s">
        <v>96</v>
      </c>
      <c r="J30" s="21"/>
      <c r="K30" s="13" t="s">
        <v>115</v>
      </c>
      <c r="L30" s="13" t="s">
        <v>116</v>
      </c>
      <c r="M30" s="13" t="s">
        <v>87</v>
      </c>
      <c r="N30" s="13" t="s">
        <v>88</v>
      </c>
      <c r="O30" s="13" t="s">
        <v>88</v>
      </c>
      <c r="P30" s="13" t="s">
        <v>122</v>
      </c>
      <c r="Q30" s="13" t="s">
        <v>90</v>
      </c>
      <c r="R30" s="12"/>
      <c r="S30" s="12"/>
      <c r="T30" s="12"/>
      <c r="U30" s="12"/>
      <c r="V30" s="11">
        <v>0</v>
      </c>
      <c r="W30" s="11">
        <v>8</v>
      </c>
      <c r="X30" s="11">
        <v>8</v>
      </c>
      <c r="Y30" s="11">
        <v>24</v>
      </c>
      <c r="Z30" s="11">
        <v>80.188574416097296</v>
      </c>
      <c r="AA30" s="12"/>
      <c r="AB30" s="12"/>
      <c r="AC30" s="12"/>
      <c r="AD30" s="12"/>
      <c r="AE30" s="12"/>
      <c r="AF30" s="12"/>
      <c r="AG30" s="12"/>
      <c r="AH30" s="11">
        <v>80.180720500182403</v>
      </c>
      <c r="AI30" s="11">
        <v>80.188574416097296</v>
      </c>
      <c r="AJ30" s="11">
        <v>80.188574416097296</v>
      </c>
      <c r="AK30" s="11">
        <v>80.188574416097296</v>
      </c>
      <c r="AL30" s="11">
        <v>1.8393751233816099E-3</v>
      </c>
      <c r="AM30" s="11">
        <v>84.479272749973504</v>
      </c>
      <c r="AN30" s="12"/>
      <c r="AO30" s="13" t="s">
        <v>115</v>
      </c>
      <c r="AP30" s="13" t="s">
        <v>116</v>
      </c>
      <c r="AQ30" s="13" t="s">
        <v>87</v>
      </c>
      <c r="AR30" s="13" t="s">
        <v>88</v>
      </c>
      <c r="AS30" s="13" t="s">
        <v>88</v>
      </c>
      <c r="AT30" s="13" t="s">
        <v>122</v>
      </c>
      <c r="AU30" s="13" t="s">
        <v>90</v>
      </c>
      <c r="AV30" s="12"/>
      <c r="AW30" s="12"/>
      <c r="AX30" s="12"/>
      <c r="AY30" s="12"/>
      <c r="AZ30" s="11">
        <v>1</v>
      </c>
      <c r="BA30" s="11">
        <v>1</v>
      </c>
      <c r="BB30" s="13" t="s">
        <v>60</v>
      </c>
      <c r="BC30" s="13" t="s">
        <v>61</v>
      </c>
      <c r="BD30" s="12"/>
      <c r="BE30" s="13" t="s">
        <v>62</v>
      </c>
      <c r="BF30" s="11">
        <v>120.771609190973</v>
      </c>
      <c r="BG30" s="13" t="s">
        <v>63</v>
      </c>
      <c r="BH30" s="12"/>
    </row>
    <row r="31" spans="1:60" x14ac:dyDescent="0.15">
      <c r="A31" s="14"/>
      <c r="B31" s="10">
        <v>9</v>
      </c>
      <c r="C31" s="11">
        <v>9</v>
      </c>
      <c r="D31" s="11">
        <v>0</v>
      </c>
      <c r="E31" s="12"/>
      <c r="F31" s="12"/>
      <c r="G31" s="20" t="s">
        <v>123</v>
      </c>
      <c r="H31" s="20" t="s">
        <v>78</v>
      </c>
      <c r="I31" s="20" t="s">
        <v>84</v>
      </c>
      <c r="J31" s="21"/>
      <c r="K31" s="13" t="s">
        <v>115</v>
      </c>
      <c r="L31" s="13" t="s">
        <v>116</v>
      </c>
      <c r="M31" s="13" t="s">
        <v>87</v>
      </c>
      <c r="N31" s="13" t="s">
        <v>88</v>
      </c>
      <c r="O31" s="13" t="s">
        <v>88</v>
      </c>
      <c r="P31" s="13" t="s">
        <v>124</v>
      </c>
      <c r="Q31" s="13" t="s">
        <v>90</v>
      </c>
      <c r="R31" s="12"/>
      <c r="S31" s="12"/>
      <c r="T31" s="12"/>
      <c r="U31" s="12"/>
      <c r="V31" s="11">
        <v>0</v>
      </c>
      <c r="W31" s="11">
        <v>9</v>
      </c>
      <c r="X31" s="11">
        <v>9</v>
      </c>
      <c r="Y31" s="11">
        <v>5</v>
      </c>
      <c r="Z31" s="11">
        <v>84.489424375118702</v>
      </c>
      <c r="AA31" s="12"/>
      <c r="AB31" s="12"/>
      <c r="AC31" s="12"/>
      <c r="AD31" s="12"/>
      <c r="AE31" s="12"/>
      <c r="AF31" s="12"/>
      <c r="AG31" s="12"/>
      <c r="AH31" s="11">
        <v>84.481427458114894</v>
      </c>
      <c r="AI31" s="11">
        <v>84.489424375118702</v>
      </c>
      <c r="AJ31" s="11">
        <v>84.489424375118702</v>
      </c>
      <c r="AK31" s="11">
        <v>84.489424375118702</v>
      </c>
      <c r="AL31" s="11">
        <v>2.0605418831110001E-3</v>
      </c>
      <c r="AM31" s="11">
        <v>87.828465583035694</v>
      </c>
      <c r="AN31" s="12"/>
      <c r="AO31" s="13" t="s">
        <v>115</v>
      </c>
      <c r="AP31" s="13" t="s">
        <v>116</v>
      </c>
      <c r="AQ31" s="13" t="s">
        <v>87</v>
      </c>
      <c r="AR31" s="13" t="s">
        <v>88</v>
      </c>
      <c r="AS31" s="13" t="s">
        <v>88</v>
      </c>
      <c r="AT31" s="13" t="s">
        <v>124</v>
      </c>
      <c r="AU31" s="13" t="s">
        <v>90</v>
      </c>
      <c r="AV31" s="12"/>
      <c r="AW31" s="12"/>
      <c r="AX31" s="12"/>
      <c r="AY31" s="12"/>
      <c r="AZ31" s="11">
        <v>1</v>
      </c>
      <c r="BA31" s="11">
        <v>1</v>
      </c>
      <c r="BB31" s="13" t="s">
        <v>60</v>
      </c>
      <c r="BC31" s="13" t="s">
        <v>61</v>
      </c>
      <c r="BD31" s="12"/>
      <c r="BE31" s="13" t="s">
        <v>62</v>
      </c>
      <c r="BF31" s="11">
        <v>120.771609190973</v>
      </c>
      <c r="BG31" s="13" t="s">
        <v>63</v>
      </c>
      <c r="BH31" s="12"/>
    </row>
    <row r="32" spans="1:60" x14ac:dyDescent="0.15">
      <c r="A32" s="14"/>
      <c r="B32" s="10">
        <v>10</v>
      </c>
      <c r="C32" s="11">
        <v>10</v>
      </c>
      <c r="D32" s="11">
        <v>0</v>
      </c>
      <c r="E32" s="12"/>
      <c r="F32" s="12"/>
      <c r="G32" s="20" t="s">
        <v>125</v>
      </c>
      <c r="H32" s="20" t="s">
        <v>65</v>
      </c>
      <c r="I32" s="20" t="s">
        <v>84</v>
      </c>
      <c r="J32" s="21"/>
      <c r="K32" s="13" t="s">
        <v>126</v>
      </c>
      <c r="L32" s="13" t="s">
        <v>127</v>
      </c>
      <c r="M32" s="13" t="s">
        <v>87</v>
      </c>
      <c r="N32" s="13" t="s">
        <v>88</v>
      </c>
      <c r="O32" s="13" t="s">
        <v>88</v>
      </c>
      <c r="P32" s="13" t="s">
        <v>128</v>
      </c>
      <c r="Q32" s="13" t="s">
        <v>90</v>
      </c>
      <c r="R32" s="12"/>
      <c r="S32" s="12"/>
      <c r="T32" s="12"/>
      <c r="U32" s="12"/>
      <c r="V32" s="11">
        <v>0</v>
      </c>
      <c r="W32" s="11">
        <v>10</v>
      </c>
      <c r="X32" s="11">
        <v>10</v>
      </c>
      <c r="Y32" s="11">
        <v>11</v>
      </c>
      <c r="Z32" s="11">
        <v>87.853185500018299</v>
      </c>
      <c r="AA32" s="12"/>
      <c r="AB32" s="12"/>
      <c r="AC32" s="12"/>
      <c r="AD32" s="12"/>
      <c r="AE32" s="12"/>
      <c r="AF32" s="12"/>
      <c r="AG32" s="12"/>
      <c r="AH32" s="11">
        <v>87.830049791140496</v>
      </c>
      <c r="AI32" s="11">
        <v>87.853185500018299</v>
      </c>
      <c r="AJ32" s="11">
        <v>87.853185500018299</v>
      </c>
      <c r="AK32" s="11">
        <v>87.853185500018299</v>
      </c>
      <c r="AL32" s="11">
        <v>1.4956248924136201E-3</v>
      </c>
      <c r="AM32" s="11">
        <v>90.661363416118604</v>
      </c>
      <c r="AN32" s="12"/>
      <c r="AO32" s="13" t="s">
        <v>126</v>
      </c>
      <c r="AP32" s="13" t="s">
        <v>127</v>
      </c>
      <c r="AQ32" s="13" t="s">
        <v>87</v>
      </c>
      <c r="AR32" s="13" t="s">
        <v>88</v>
      </c>
      <c r="AS32" s="13" t="s">
        <v>88</v>
      </c>
      <c r="AT32" s="13" t="s">
        <v>128</v>
      </c>
      <c r="AU32" s="13" t="s">
        <v>90</v>
      </c>
      <c r="AV32" s="12"/>
      <c r="AW32" s="12"/>
      <c r="AX32" s="12"/>
      <c r="AY32" s="12"/>
      <c r="AZ32" s="11">
        <v>1</v>
      </c>
      <c r="BA32" s="11">
        <v>1</v>
      </c>
      <c r="BB32" s="13" t="s">
        <v>60</v>
      </c>
      <c r="BC32" s="13" t="s">
        <v>61</v>
      </c>
      <c r="BD32" s="12"/>
      <c r="BE32" s="13" t="s">
        <v>62</v>
      </c>
      <c r="BF32" s="11">
        <v>120.771609190973</v>
      </c>
      <c r="BG32" s="13" t="s">
        <v>63</v>
      </c>
      <c r="BH32" s="12"/>
    </row>
    <row r="33" spans="1:60" x14ac:dyDescent="0.15">
      <c r="A33" s="14"/>
      <c r="B33" s="10">
        <v>11</v>
      </c>
      <c r="C33" s="11">
        <v>11</v>
      </c>
      <c r="D33" s="11">
        <v>0</v>
      </c>
      <c r="E33" s="12"/>
      <c r="F33" s="12"/>
      <c r="G33" s="20" t="s">
        <v>129</v>
      </c>
      <c r="H33" s="20" t="s">
        <v>72</v>
      </c>
      <c r="I33" s="20" t="s">
        <v>84</v>
      </c>
      <c r="J33" s="20" t="s">
        <v>78</v>
      </c>
      <c r="K33" s="13" t="s">
        <v>126</v>
      </c>
      <c r="L33" s="13" t="s">
        <v>127</v>
      </c>
      <c r="M33" s="13" t="s">
        <v>87</v>
      </c>
      <c r="N33" s="13" t="s">
        <v>88</v>
      </c>
      <c r="O33" s="13" t="s">
        <v>88</v>
      </c>
      <c r="P33" s="13" t="s">
        <v>130</v>
      </c>
      <c r="Q33" s="13" t="s">
        <v>90</v>
      </c>
      <c r="R33" s="12"/>
      <c r="S33" s="12"/>
      <c r="T33" s="12"/>
      <c r="U33" s="12"/>
      <c r="V33" s="11">
        <v>0</v>
      </c>
      <c r="W33" s="11">
        <v>11</v>
      </c>
      <c r="X33" s="11">
        <v>11</v>
      </c>
      <c r="Y33" s="11">
        <v>0</v>
      </c>
      <c r="Z33" s="11">
        <v>90.669808082981007</v>
      </c>
      <c r="AA33" s="12"/>
      <c r="AB33" s="12"/>
      <c r="AC33" s="12"/>
      <c r="AD33" s="12"/>
      <c r="AE33" s="12"/>
      <c r="AF33" s="12"/>
      <c r="AG33" s="12"/>
      <c r="AH33" s="11">
        <v>90.6627340409905</v>
      </c>
      <c r="AI33" s="11">
        <v>90.669808082981007</v>
      </c>
      <c r="AJ33" s="11">
        <v>90.669808082981007</v>
      </c>
      <c r="AK33" s="11">
        <v>90.669808082981007</v>
      </c>
      <c r="AL33" s="11">
        <v>1.2868330813944301E-3</v>
      </c>
      <c r="AM33" s="11">
        <v>93.595504291122793</v>
      </c>
      <c r="AN33" s="13" t="s">
        <v>78</v>
      </c>
      <c r="AO33" s="13" t="s">
        <v>126</v>
      </c>
      <c r="AP33" s="13" t="s">
        <v>127</v>
      </c>
      <c r="AQ33" s="13" t="s">
        <v>87</v>
      </c>
      <c r="AR33" s="13" t="s">
        <v>88</v>
      </c>
      <c r="AS33" s="13" t="s">
        <v>88</v>
      </c>
      <c r="AT33" s="13" t="s">
        <v>130</v>
      </c>
      <c r="AU33" s="13" t="s">
        <v>90</v>
      </c>
      <c r="AV33" s="12"/>
      <c r="AW33" s="12"/>
      <c r="AX33" s="12"/>
      <c r="AY33" s="12"/>
      <c r="AZ33" s="11">
        <v>1</v>
      </c>
      <c r="BA33" s="11">
        <v>1</v>
      </c>
      <c r="BB33" s="13" t="s">
        <v>60</v>
      </c>
      <c r="BC33" s="13" t="s">
        <v>61</v>
      </c>
      <c r="BD33" s="12"/>
      <c r="BE33" s="13" t="s">
        <v>62</v>
      </c>
      <c r="BF33" s="11">
        <v>120.771609190973</v>
      </c>
      <c r="BG33" s="13" t="s">
        <v>63</v>
      </c>
      <c r="BH33" s="12"/>
    </row>
    <row r="34" spans="1:60" x14ac:dyDescent="0.15">
      <c r="A34" s="14"/>
      <c r="B34" s="10">
        <v>12</v>
      </c>
      <c r="C34" s="11">
        <v>12</v>
      </c>
      <c r="D34" s="11">
        <v>0</v>
      </c>
      <c r="E34" s="12"/>
      <c r="F34" s="12"/>
      <c r="G34" s="20" t="s">
        <v>131</v>
      </c>
      <c r="H34" s="20" t="s">
        <v>76</v>
      </c>
      <c r="I34" s="20" t="s">
        <v>84</v>
      </c>
      <c r="J34" s="20" t="s">
        <v>132</v>
      </c>
      <c r="K34" s="13" t="s">
        <v>93</v>
      </c>
      <c r="L34" s="13" t="s">
        <v>93</v>
      </c>
      <c r="M34" s="13" t="s">
        <v>93</v>
      </c>
      <c r="N34" s="13" t="s">
        <v>93</v>
      </c>
      <c r="O34" s="13" t="s">
        <v>93</v>
      </c>
      <c r="P34" s="13" t="s">
        <v>93</v>
      </c>
      <c r="Q34" s="13" t="s">
        <v>93</v>
      </c>
      <c r="R34" s="12"/>
      <c r="S34" s="12"/>
      <c r="T34" s="12"/>
      <c r="U34" s="12"/>
      <c r="V34" s="11">
        <v>0</v>
      </c>
      <c r="W34" s="11">
        <v>12</v>
      </c>
      <c r="X34" s="11">
        <v>12</v>
      </c>
      <c r="Y34" s="11">
        <v>6</v>
      </c>
      <c r="Z34" s="11">
        <v>93.607730625197306</v>
      </c>
      <c r="AA34" s="12"/>
      <c r="AB34" s="12"/>
      <c r="AC34" s="12"/>
      <c r="AD34" s="12"/>
      <c r="AE34" s="12"/>
      <c r="AF34" s="12"/>
      <c r="AG34" s="12"/>
      <c r="AH34" s="11">
        <v>93.598073250148502</v>
      </c>
      <c r="AI34" s="11">
        <v>93.607730625197306</v>
      </c>
      <c r="AJ34" s="11">
        <v>93.607730625197306</v>
      </c>
      <c r="AK34" s="11">
        <v>93.607730625197306</v>
      </c>
      <c r="AL34" s="11">
        <v>2.4754579644650199E-3</v>
      </c>
      <c r="AM34" s="11">
        <v>103.594594166148</v>
      </c>
      <c r="AN34" s="13" t="s">
        <v>132</v>
      </c>
      <c r="AO34" s="13" t="s">
        <v>93</v>
      </c>
      <c r="AP34" s="13" t="s">
        <v>93</v>
      </c>
      <c r="AQ34" s="13" t="s">
        <v>93</v>
      </c>
      <c r="AR34" s="13" t="s">
        <v>93</v>
      </c>
      <c r="AS34" s="13" t="s">
        <v>93</v>
      </c>
      <c r="AT34" s="13" t="s">
        <v>93</v>
      </c>
      <c r="AU34" s="13" t="s">
        <v>93</v>
      </c>
      <c r="AV34" s="11">
        <v>103.606778250076</v>
      </c>
      <c r="AW34" s="11">
        <v>103.606778250076</v>
      </c>
      <c r="AX34" s="11">
        <v>103.606778250076</v>
      </c>
      <c r="AY34" s="11">
        <v>9.9988022078760004</v>
      </c>
      <c r="AZ34" s="11">
        <v>1</v>
      </c>
      <c r="BA34" s="11">
        <v>1</v>
      </c>
      <c r="BB34" s="13" t="s">
        <v>60</v>
      </c>
      <c r="BC34" s="13" t="s">
        <v>61</v>
      </c>
      <c r="BD34" s="12"/>
      <c r="BE34" s="13" t="s">
        <v>62</v>
      </c>
      <c r="BF34" s="11">
        <v>120.771609190973</v>
      </c>
      <c r="BG34" s="13" t="s">
        <v>63</v>
      </c>
      <c r="BH34" s="12"/>
    </row>
    <row r="35" spans="1:60" x14ac:dyDescent="0.15">
      <c r="A35" s="14"/>
      <c r="B35" s="10">
        <v>13</v>
      </c>
      <c r="C35" s="11">
        <v>13</v>
      </c>
      <c r="D35" s="11">
        <v>0</v>
      </c>
      <c r="E35" s="12"/>
      <c r="F35" s="12"/>
      <c r="G35" s="20" t="s">
        <v>133</v>
      </c>
      <c r="H35" s="20" t="s">
        <v>64</v>
      </c>
      <c r="I35" s="20" t="s">
        <v>84</v>
      </c>
      <c r="J35" s="20" t="s">
        <v>134</v>
      </c>
      <c r="K35" s="13" t="s">
        <v>126</v>
      </c>
      <c r="L35" s="13" t="s">
        <v>127</v>
      </c>
      <c r="M35" s="13" t="s">
        <v>87</v>
      </c>
      <c r="N35" s="13" t="s">
        <v>88</v>
      </c>
      <c r="O35" s="13" t="s">
        <v>88</v>
      </c>
      <c r="P35" s="13" t="s">
        <v>135</v>
      </c>
      <c r="Q35" s="13" t="s">
        <v>90</v>
      </c>
      <c r="R35" s="12"/>
      <c r="S35" s="12"/>
      <c r="T35" s="12"/>
      <c r="U35" s="12"/>
      <c r="V35" s="11">
        <v>0</v>
      </c>
      <c r="W35" s="11">
        <v>13</v>
      </c>
      <c r="X35" s="11">
        <v>13</v>
      </c>
      <c r="Y35" s="11">
        <v>18</v>
      </c>
      <c r="Z35" s="11">
        <v>103.606778250076</v>
      </c>
      <c r="AA35" s="12"/>
      <c r="AB35" s="12"/>
      <c r="AC35" s="12"/>
      <c r="AD35" s="12"/>
      <c r="AE35" s="12"/>
      <c r="AF35" s="12"/>
      <c r="AG35" s="12"/>
      <c r="AH35" s="11">
        <v>103.59709183312999</v>
      </c>
      <c r="AI35" s="11">
        <v>103.606778250076</v>
      </c>
      <c r="AJ35" s="11">
        <v>103.606778250076</v>
      </c>
      <c r="AK35" s="11">
        <v>103.606778250076</v>
      </c>
      <c r="AL35" s="11">
        <v>1.4918330125510699E-3</v>
      </c>
      <c r="AM35" s="11">
        <v>113.181532333139</v>
      </c>
      <c r="AN35" s="13" t="s">
        <v>134</v>
      </c>
      <c r="AO35" s="13" t="s">
        <v>126</v>
      </c>
      <c r="AP35" s="13" t="s">
        <v>127</v>
      </c>
      <c r="AQ35" s="13" t="s">
        <v>87</v>
      </c>
      <c r="AR35" s="13" t="s">
        <v>88</v>
      </c>
      <c r="AS35" s="13" t="s">
        <v>88</v>
      </c>
      <c r="AT35" s="13" t="s">
        <v>135</v>
      </c>
      <c r="AU35" s="13" t="s">
        <v>90</v>
      </c>
      <c r="AV35" s="12"/>
      <c r="AW35" s="12"/>
      <c r="AX35" s="12"/>
      <c r="AY35" s="12"/>
      <c r="AZ35" s="11">
        <v>1</v>
      </c>
      <c r="BA35" s="11">
        <v>1</v>
      </c>
      <c r="BB35" s="13" t="s">
        <v>60</v>
      </c>
      <c r="BC35" s="13" t="s">
        <v>61</v>
      </c>
      <c r="BD35" s="12"/>
      <c r="BE35" s="13" t="s">
        <v>62</v>
      </c>
      <c r="BF35" s="11">
        <v>120.771609190973</v>
      </c>
      <c r="BG35" s="13" t="s">
        <v>63</v>
      </c>
      <c r="BH35" s="12"/>
    </row>
    <row r="36" spans="1:60" x14ac:dyDescent="0.15">
      <c r="A36" s="14"/>
      <c r="B36" s="10">
        <v>14</v>
      </c>
      <c r="C36" s="11">
        <v>14</v>
      </c>
      <c r="D36" s="11">
        <v>0</v>
      </c>
      <c r="E36" s="12"/>
      <c r="F36" s="12"/>
      <c r="G36" s="20" t="s">
        <v>136</v>
      </c>
      <c r="H36" s="20" t="s">
        <v>69</v>
      </c>
      <c r="I36" s="20" t="s">
        <v>84</v>
      </c>
      <c r="J36" s="21"/>
      <c r="K36" s="13" t="s">
        <v>126</v>
      </c>
      <c r="L36" s="13" t="s">
        <v>127</v>
      </c>
      <c r="M36" s="13" t="s">
        <v>87</v>
      </c>
      <c r="N36" s="13" t="s">
        <v>88</v>
      </c>
      <c r="O36" s="13" t="s">
        <v>88</v>
      </c>
      <c r="P36" s="13" t="s">
        <v>137</v>
      </c>
      <c r="Q36" s="13" t="s">
        <v>90</v>
      </c>
      <c r="R36" s="12"/>
      <c r="S36" s="12"/>
      <c r="T36" s="12"/>
      <c r="U36" s="12"/>
      <c r="V36" s="11">
        <v>0</v>
      </c>
      <c r="W36" s="11">
        <v>14</v>
      </c>
      <c r="X36" s="11">
        <v>14</v>
      </c>
      <c r="Y36" s="11">
        <v>8</v>
      </c>
      <c r="Z36" s="11">
        <v>113.191704666009</v>
      </c>
      <c r="AA36" s="12"/>
      <c r="AB36" s="12"/>
      <c r="AC36" s="12"/>
      <c r="AD36" s="12"/>
      <c r="AE36" s="12"/>
      <c r="AF36" s="12"/>
      <c r="AG36" s="12"/>
      <c r="AH36" s="11">
        <v>113.183846125146</v>
      </c>
      <c r="AI36" s="11">
        <v>113.191704666009</v>
      </c>
      <c r="AJ36" s="11">
        <v>113.191704666009</v>
      </c>
      <c r="AK36" s="11">
        <v>113.191704666009</v>
      </c>
      <c r="AL36" s="11">
        <v>2.1847498137503901E-3</v>
      </c>
      <c r="AM36" s="11">
        <v>114.994728791062</v>
      </c>
      <c r="AN36" s="12"/>
      <c r="AO36" s="13" t="s">
        <v>126</v>
      </c>
      <c r="AP36" s="13" t="s">
        <v>127</v>
      </c>
      <c r="AQ36" s="13" t="s">
        <v>87</v>
      </c>
      <c r="AR36" s="13" t="s">
        <v>88</v>
      </c>
      <c r="AS36" s="13" t="s">
        <v>88</v>
      </c>
      <c r="AT36" s="13" t="s">
        <v>137</v>
      </c>
      <c r="AU36" s="13" t="s">
        <v>90</v>
      </c>
      <c r="AV36" s="12"/>
      <c r="AW36" s="12"/>
      <c r="AX36" s="12"/>
      <c r="AY36" s="12"/>
      <c r="AZ36" s="11">
        <v>1</v>
      </c>
      <c r="BA36" s="11">
        <v>1</v>
      </c>
      <c r="BB36" s="13" t="s">
        <v>60</v>
      </c>
      <c r="BC36" s="13" t="s">
        <v>61</v>
      </c>
      <c r="BD36" s="12"/>
      <c r="BE36" s="13" t="s">
        <v>62</v>
      </c>
      <c r="BF36" s="11">
        <v>120.771609190973</v>
      </c>
      <c r="BG36" s="13" t="s">
        <v>63</v>
      </c>
      <c r="BH36" s="12"/>
    </row>
    <row r="37" spans="1:60" x14ac:dyDescent="0.15">
      <c r="A37" s="14"/>
      <c r="B37" s="10">
        <v>15</v>
      </c>
      <c r="C37" s="11">
        <v>15</v>
      </c>
      <c r="D37" s="11">
        <v>0</v>
      </c>
      <c r="E37" s="12"/>
      <c r="F37" s="12"/>
      <c r="G37" s="20" t="s">
        <v>138</v>
      </c>
      <c r="H37" s="20" t="s">
        <v>139</v>
      </c>
      <c r="I37" s="20" t="s">
        <v>96</v>
      </c>
      <c r="J37" s="20" t="s">
        <v>140</v>
      </c>
      <c r="K37" s="13" t="s">
        <v>126</v>
      </c>
      <c r="L37" s="13" t="s">
        <v>127</v>
      </c>
      <c r="M37" s="13" t="s">
        <v>87</v>
      </c>
      <c r="N37" s="13" t="s">
        <v>88</v>
      </c>
      <c r="O37" s="13" t="s">
        <v>88</v>
      </c>
      <c r="P37" s="13" t="s">
        <v>141</v>
      </c>
      <c r="Q37" s="13" t="s">
        <v>90</v>
      </c>
      <c r="R37" s="12"/>
      <c r="S37" s="12"/>
      <c r="T37" s="12"/>
      <c r="U37" s="12"/>
      <c r="V37" s="11">
        <v>0</v>
      </c>
      <c r="W37" s="11">
        <v>15</v>
      </c>
      <c r="X37" s="11">
        <v>15</v>
      </c>
      <c r="Y37" s="11">
        <v>21</v>
      </c>
      <c r="Z37" s="11">
        <v>115.00381375011099</v>
      </c>
      <c r="AA37" s="12"/>
      <c r="AB37" s="12"/>
      <c r="AC37" s="12"/>
      <c r="AD37" s="12"/>
      <c r="AE37" s="12"/>
      <c r="AF37" s="12"/>
      <c r="AG37" s="12"/>
      <c r="AH37" s="11">
        <v>114.996391541092</v>
      </c>
      <c r="AI37" s="11">
        <v>115.00381375011099</v>
      </c>
      <c r="AJ37" s="11">
        <v>115.00381375011099</v>
      </c>
      <c r="AK37" s="11">
        <v>115.00381375011099</v>
      </c>
      <c r="AL37" s="11">
        <v>1.5683341771364199E-3</v>
      </c>
      <c r="AM37" s="11">
        <v>119.628613915993</v>
      </c>
      <c r="AN37" s="13" t="s">
        <v>140</v>
      </c>
      <c r="AO37" s="13" t="s">
        <v>126</v>
      </c>
      <c r="AP37" s="13" t="s">
        <v>127</v>
      </c>
      <c r="AQ37" s="13" t="s">
        <v>87</v>
      </c>
      <c r="AR37" s="13" t="s">
        <v>88</v>
      </c>
      <c r="AS37" s="13" t="s">
        <v>88</v>
      </c>
      <c r="AT37" s="13" t="s">
        <v>141</v>
      </c>
      <c r="AU37" s="13" t="s">
        <v>90</v>
      </c>
      <c r="AV37" s="12"/>
      <c r="AW37" s="12"/>
      <c r="AX37" s="12"/>
      <c r="AY37" s="12"/>
      <c r="AZ37" s="11">
        <v>1</v>
      </c>
      <c r="BA37" s="11">
        <v>1</v>
      </c>
      <c r="BB37" s="13" t="s">
        <v>60</v>
      </c>
      <c r="BC37" s="13" t="s">
        <v>61</v>
      </c>
      <c r="BD37" s="12"/>
      <c r="BE37" s="13" t="s">
        <v>62</v>
      </c>
      <c r="BF37" s="11">
        <v>120.771609190973</v>
      </c>
      <c r="BG37" s="13" t="s">
        <v>63</v>
      </c>
      <c r="BH37" s="12"/>
    </row>
    <row r="38" spans="1:60" x14ac:dyDescent="0.15">
      <c r="A38" s="14"/>
      <c r="B38" s="10">
        <v>16</v>
      </c>
      <c r="C38" s="11">
        <v>16</v>
      </c>
      <c r="D38" s="11">
        <v>0</v>
      </c>
      <c r="E38" s="12"/>
      <c r="F38" s="12"/>
      <c r="G38" s="13" t="s">
        <v>142</v>
      </c>
      <c r="H38" s="13" t="s">
        <v>67</v>
      </c>
      <c r="I38" s="13" t="s">
        <v>84</v>
      </c>
      <c r="J38" s="13" t="s">
        <v>67</v>
      </c>
      <c r="K38" s="13" t="s">
        <v>126</v>
      </c>
      <c r="L38" s="13" t="s">
        <v>127</v>
      </c>
      <c r="M38" s="13" t="s">
        <v>87</v>
      </c>
      <c r="N38" s="13" t="s">
        <v>88</v>
      </c>
      <c r="O38" s="13" t="s">
        <v>88</v>
      </c>
      <c r="P38" s="13" t="s">
        <v>143</v>
      </c>
      <c r="Q38" s="13" t="s">
        <v>90</v>
      </c>
      <c r="R38" s="12"/>
      <c r="S38" s="12"/>
      <c r="T38" s="12"/>
      <c r="U38" s="12"/>
      <c r="V38" s="11">
        <v>0</v>
      </c>
      <c r="W38" s="11">
        <v>16</v>
      </c>
      <c r="X38" s="11">
        <v>16</v>
      </c>
      <c r="Y38" s="11">
        <v>16</v>
      </c>
      <c r="Z38" s="11">
        <v>119.640474040993</v>
      </c>
      <c r="AA38" s="12"/>
      <c r="AB38" s="12"/>
      <c r="AC38" s="12"/>
      <c r="AD38" s="12"/>
      <c r="AE38" s="12"/>
      <c r="AF38" s="12"/>
      <c r="AG38" s="12"/>
      <c r="AH38" s="11">
        <v>119.631147083128</v>
      </c>
      <c r="AI38" s="11">
        <v>119.640474040993</v>
      </c>
      <c r="AJ38" s="11">
        <v>119.640474040993</v>
      </c>
      <c r="AK38" s="11">
        <v>119.640474040993</v>
      </c>
      <c r="AL38" s="11">
        <v>2.4303749669343198E-3</v>
      </c>
      <c r="AM38" s="11">
        <v>125.07872591610101</v>
      </c>
      <c r="AN38" s="13" t="s">
        <v>67</v>
      </c>
      <c r="AO38" s="13" t="s">
        <v>126</v>
      </c>
      <c r="AP38" s="13" t="s">
        <v>127</v>
      </c>
      <c r="AQ38" s="13" t="s">
        <v>87</v>
      </c>
      <c r="AR38" s="13" t="s">
        <v>88</v>
      </c>
      <c r="AS38" s="13" t="s">
        <v>88</v>
      </c>
      <c r="AT38" s="13" t="s">
        <v>143</v>
      </c>
      <c r="AU38" s="13" t="s">
        <v>90</v>
      </c>
      <c r="AV38" s="12"/>
      <c r="AW38" s="12"/>
      <c r="AX38" s="12"/>
      <c r="AY38" s="12"/>
      <c r="AZ38" s="11">
        <v>1</v>
      </c>
      <c r="BA38" s="11">
        <v>1</v>
      </c>
      <c r="BB38" s="13" t="s">
        <v>60</v>
      </c>
      <c r="BC38" s="13" t="s">
        <v>61</v>
      </c>
      <c r="BD38" s="12"/>
      <c r="BE38" s="13" t="s">
        <v>62</v>
      </c>
      <c r="BF38" s="11">
        <v>120.771609190973</v>
      </c>
      <c r="BG38" s="13" t="s">
        <v>63</v>
      </c>
      <c r="BH38" s="12"/>
    </row>
    <row r="39" spans="1:60" x14ac:dyDescent="0.15">
      <c r="A39" s="14"/>
      <c r="B39" s="10">
        <v>17</v>
      </c>
      <c r="C39" s="11">
        <v>17</v>
      </c>
      <c r="D39" s="11">
        <v>0</v>
      </c>
      <c r="E39" s="12"/>
      <c r="F39" s="12"/>
      <c r="G39" s="20" t="s">
        <v>144</v>
      </c>
      <c r="H39" s="20" t="s">
        <v>81</v>
      </c>
      <c r="I39" s="20" t="s">
        <v>84</v>
      </c>
      <c r="J39" s="21"/>
      <c r="K39" s="13" t="s">
        <v>145</v>
      </c>
      <c r="L39" s="13" t="s">
        <v>146</v>
      </c>
      <c r="M39" s="13" t="s">
        <v>87</v>
      </c>
      <c r="N39" s="13" t="s">
        <v>88</v>
      </c>
      <c r="O39" s="13" t="s">
        <v>88</v>
      </c>
      <c r="P39" s="13" t="s">
        <v>147</v>
      </c>
      <c r="Q39" s="13" t="s">
        <v>90</v>
      </c>
      <c r="R39" s="12"/>
      <c r="S39" s="12"/>
      <c r="T39" s="12"/>
      <c r="U39" s="12"/>
      <c r="V39" s="11">
        <v>0</v>
      </c>
      <c r="W39" s="11">
        <v>17</v>
      </c>
      <c r="X39" s="11">
        <v>17</v>
      </c>
      <c r="Y39" s="11">
        <v>4</v>
      </c>
      <c r="Z39" s="11">
        <v>125.089842000045</v>
      </c>
      <c r="AA39" s="12"/>
      <c r="AB39" s="12"/>
      <c r="AC39" s="12"/>
      <c r="AD39" s="12"/>
      <c r="AE39" s="12"/>
      <c r="AF39" s="12"/>
      <c r="AG39" s="12"/>
      <c r="AH39" s="11">
        <v>125.080251333071</v>
      </c>
      <c r="AI39" s="11">
        <v>125.089842000045</v>
      </c>
      <c r="AJ39" s="11">
        <v>125.089842000045</v>
      </c>
      <c r="AK39" s="11">
        <v>125.089842000045</v>
      </c>
      <c r="AL39" s="11">
        <v>1.43720908090472E-3</v>
      </c>
      <c r="AM39" s="11">
        <v>127.21148566599</v>
      </c>
      <c r="AN39" s="12"/>
      <c r="AO39" s="13" t="s">
        <v>145</v>
      </c>
      <c r="AP39" s="13" t="s">
        <v>146</v>
      </c>
      <c r="AQ39" s="13" t="s">
        <v>87</v>
      </c>
      <c r="AR39" s="13" t="s">
        <v>88</v>
      </c>
      <c r="AS39" s="13" t="s">
        <v>88</v>
      </c>
      <c r="AT39" s="13" t="s">
        <v>147</v>
      </c>
      <c r="AU39" s="13" t="s">
        <v>90</v>
      </c>
      <c r="AV39" s="12"/>
      <c r="AW39" s="12"/>
      <c r="AX39" s="12"/>
      <c r="AY39" s="12"/>
      <c r="AZ39" s="11">
        <v>1</v>
      </c>
      <c r="BA39" s="11">
        <v>1</v>
      </c>
      <c r="BB39" s="13" t="s">
        <v>60</v>
      </c>
      <c r="BC39" s="13" t="s">
        <v>61</v>
      </c>
      <c r="BD39" s="12"/>
      <c r="BE39" s="13" t="s">
        <v>62</v>
      </c>
      <c r="BF39" s="11">
        <v>120.771609190973</v>
      </c>
      <c r="BG39" s="13" t="s">
        <v>63</v>
      </c>
      <c r="BH39" s="12"/>
    </row>
    <row r="40" spans="1:60" x14ac:dyDescent="0.15">
      <c r="A40" s="14"/>
      <c r="B40" s="10">
        <v>18</v>
      </c>
      <c r="C40" s="11">
        <v>18</v>
      </c>
      <c r="D40" s="11">
        <v>0</v>
      </c>
      <c r="E40" s="12"/>
      <c r="F40" s="12"/>
      <c r="G40" s="20" t="s">
        <v>148</v>
      </c>
      <c r="H40" s="20" t="s">
        <v>74</v>
      </c>
      <c r="I40" s="20" t="s">
        <v>84</v>
      </c>
      <c r="J40" s="21"/>
      <c r="K40" s="13" t="s">
        <v>149</v>
      </c>
      <c r="L40" s="13" t="s">
        <v>150</v>
      </c>
      <c r="M40" s="13" t="s">
        <v>87</v>
      </c>
      <c r="N40" s="13" t="s">
        <v>88</v>
      </c>
      <c r="O40" s="13" t="s">
        <v>88</v>
      </c>
      <c r="P40" s="13" t="s">
        <v>151</v>
      </c>
      <c r="Q40" s="13" t="s">
        <v>90</v>
      </c>
      <c r="R40" s="12"/>
      <c r="S40" s="12"/>
      <c r="T40" s="12"/>
      <c r="U40" s="12"/>
      <c r="V40" s="11">
        <v>0</v>
      </c>
      <c r="W40" s="11">
        <v>18</v>
      </c>
      <c r="X40" s="11">
        <v>18</v>
      </c>
      <c r="Y40" s="11">
        <v>13</v>
      </c>
      <c r="Z40" s="11">
        <v>127.220341958106</v>
      </c>
      <c r="AA40" s="12"/>
      <c r="AB40" s="12"/>
      <c r="AC40" s="12"/>
      <c r="AD40" s="12"/>
      <c r="AE40" s="12"/>
      <c r="AF40" s="12"/>
      <c r="AG40" s="12"/>
      <c r="AH40" s="11">
        <v>127.21310891606799</v>
      </c>
      <c r="AI40" s="11">
        <v>127.220341958106</v>
      </c>
      <c r="AJ40" s="11">
        <v>127.220341958106</v>
      </c>
      <c r="AK40" s="11">
        <v>127.220341958106</v>
      </c>
      <c r="AL40" s="11">
        <v>1.53320794925094E-3</v>
      </c>
      <c r="AM40" s="11">
        <v>133.394893125165</v>
      </c>
      <c r="AN40" s="12"/>
      <c r="AO40" s="13" t="s">
        <v>149</v>
      </c>
      <c r="AP40" s="13" t="s">
        <v>150</v>
      </c>
      <c r="AQ40" s="13" t="s">
        <v>87</v>
      </c>
      <c r="AR40" s="13" t="s">
        <v>88</v>
      </c>
      <c r="AS40" s="13" t="s">
        <v>88</v>
      </c>
      <c r="AT40" s="13" t="s">
        <v>151</v>
      </c>
      <c r="AU40" s="13" t="s">
        <v>90</v>
      </c>
      <c r="AV40" s="12"/>
      <c r="AW40" s="12"/>
      <c r="AX40" s="12"/>
      <c r="AY40" s="12"/>
      <c r="AZ40" s="11">
        <v>1</v>
      </c>
      <c r="BA40" s="11">
        <v>1</v>
      </c>
      <c r="BB40" s="13" t="s">
        <v>60</v>
      </c>
      <c r="BC40" s="13" t="s">
        <v>61</v>
      </c>
      <c r="BD40" s="12"/>
      <c r="BE40" s="13" t="s">
        <v>62</v>
      </c>
      <c r="BF40" s="11">
        <v>120.771609190973</v>
      </c>
      <c r="BG40" s="13" t="s">
        <v>63</v>
      </c>
      <c r="BH40" s="12"/>
    </row>
    <row r="41" spans="1:60" x14ac:dyDescent="0.15">
      <c r="A41" s="14"/>
      <c r="B41" s="10">
        <v>19</v>
      </c>
      <c r="C41" s="11">
        <v>19</v>
      </c>
      <c r="D41" s="11">
        <v>0</v>
      </c>
      <c r="E41" s="12"/>
      <c r="F41" s="12"/>
      <c r="G41" s="13" t="s">
        <v>152</v>
      </c>
      <c r="H41" s="13" t="s">
        <v>153</v>
      </c>
      <c r="I41" s="13" t="s">
        <v>96</v>
      </c>
      <c r="J41" s="13" t="s">
        <v>153</v>
      </c>
      <c r="K41" s="13" t="s">
        <v>154</v>
      </c>
      <c r="L41" s="13" t="s">
        <v>155</v>
      </c>
      <c r="M41" s="13" t="s">
        <v>87</v>
      </c>
      <c r="N41" s="13" t="s">
        <v>88</v>
      </c>
      <c r="O41" s="13" t="s">
        <v>88</v>
      </c>
      <c r="P41" s="13" t="s">
        <v>156</v>
      </c>
      <c r="Q41" s="13" t="s">
        <v>90</v>
      </c>
      <c r="R41" s="12"/>
      <c r="S41" s="12"/>
      <c r="T41" s="12"/>
      <c r="U41" s="12"/>
      <c r="V41" s="11">
        <v>0</v>
      </c>
      <c r="W41" s="11">
        <v>19</v>
      </c>
      <c r="X41" s="11">
        <v>19</v>
      </c>
      <c r="Y41" s="11">
        <v>20</v>
      </c>
      <c r="Z41" s="11">
        <v>133.41973545798101</v>
      </c>
      <c r="AA41" s="12"/>
      <c r="AB41" s="12"/>
      <c r="AC41" s="12"/>
      <c r="AD41" s="12"/>
      <c r="AE41" s="12"/>
      <c r="AF41" s="12"/>
      <c r="AG41" s="12"/>
      <c r="AH41" s="11">
        <v>133.39679629099601</v>
      </c>
      <c r="AI41" s="11">
        <v>133.41973545798101</v>
      </c>
      <c r="AJ41" s="11">
        <v>133.41973545798101</v>
      </c>
      <c r="AK41" s="11">
        <v>133.41973545798101</v>
      </c>
      <c r="AL41" s="11">
        <v>1.82508397847414E-3</v>
      </c>
      <c r="AM41" s="11">
        <v>138.27928145811899</v>
      </c>
      <c r="AN41" s="13" t="s">
        <v>153</v>
      </c>
      <c r="AO41" s="13" t="s">
        <v>154</v>
      </c>
      <c r="AP41" s="13" t="s">
        <v>155</v>
      </c>
      <c r="AQ41" s="13" t="s">
        <v>87</v>
      </c>
      <c r="AR41" s="13" t="s">
        <v>88</v>
      </c>
      <c r="AS41" s="13" t="s">
        <v>88</v>
      </c>
      <c r="AT41" s="13" t="s">
        <v>156</v>
      </c>
      <c r="AU41" s="13" t="s">
        <v>90</v>
      </c>
      <c r="AV41" s="12"/>
      <c r="AW41" s="12"/>
      <c r="AX41" s="12"/>
      <c r="AY41" s="12"/>
      <c r="AZ41" s="11">
        <v>1</v>
      </c>
      <c r="BA41" s="11">
        <v>1</v>
      </c>
      <c r="BB41" s="13" t="s">
        <v>60</v>
      </c>
      <c r="BC41" s="13" t="s">
        <v>61</v>
      </c>
      <c r="BD41" s="12"/>
      <c r="BE41" s="13" t="s">
        <v>62</v>
      </c>
      <c r="BF41" s="11">
        <v>120.771609190973</v>
      </c>
      <c r="BG41" s="13" t="s">
        <v>63</v>
      </c>
      <c r="BH41" s="12"/>
    </row>
    <row r="42" spans="1:60" x14ac:dyDescent="0.15">
      <c r="A42" s="14"/>
      <c r="B42" s="10">
        <v>20</v>
      </c>
      <c r="C42" s="11">
        <v>20</v>
      </c>
      <c r="D42" s="11">
        <v>0</v>
      </c>
      <c r="E42" s="12"/>
      <c r="F42" s="12"/>
      <c r="G42" s="20" t="s">
        <v>157</v>
      </c>
      <c r="H42" s="20" t="s">
        <v>66</v>
      </c>
      <c r="I42" s="20" t="s">
        <v>84</v>
      </c>
      <c r="J42" s="21"/>
      <c r="K42" s="13" t="s">
        <v>158</v>
      </c>
      <c r="L42" s="13" t="s">
        <v>155</v>
      </c>
      <c r="M42" s="13" t="s">
        <v>87</v>
      </c>
      <c r="N42" s="13" t="s">
        <v>88</v>
      </c>
      <c r="O42" s="13" t="s">
        <v>88</v>
      </c>
      <c r="P42" s="13" t="s">
        <v>159</v>
      </c>
      <c r="Q42" s="13" t="s">
        <v>90</v>
      </c>
      <c r="R42" s="12"/>
      <c r="S42" s="12"/>
      <c r="T42" s="12"/>
      <c r="U42" s="12"/>
      <c r="V42" s="11">
        <v>0</v>
      </c>
      <c r="W42" s="11">
        <v>20</v>
      </c>
      <c r="X42" s="11">
        <v>20</v>
      </c>
      <c r="Y42" s="11">
        <v>1</v>
      </c>
      <c r="Z42" s="11">
        <v>138.29053000011501</v>
      </c>
      <c r="AA42" s="12"/>
      <c r="AB42" s="12"/>
      <c r="AC42" s="12"/>
      <c r="AD42" s="12"/>
      <c r="AE42" s="12"/>
      <c r="AF42" s="12"/>
      <c r="AG42" s="12"/>
      <c r="AH42" s="11">
        <v>138.28156745806299</v>
      </c>
      <c r="AI42" s="11">
        <v>138.29053000011501</v>
      </c>
      <c r="AJ42" s="11">
        <v>138.29053000011501</v>
      </c>
      <c r="AK42" s="11">
        <v>138.29053000011501</v>
      </c>
      <c r="AL42" s="11">
        <v>2.1952081006020299E-3</v>
      </c>
      <c r="AM42" s="11">
        <v>139.961265125079</v>
      </c>
      <c r="AN42" s="12"/>
      <c r="AO42" s="13" t="s">
        <v>158</v>
      </c>
      <c r="AP42" s="13" t="s">
        <v>155</v>
      </c>
      <c r="AQ42" s="13" t="s">
        <v>87</v>
      </c>
      <c r="AR42" s="13" t="s">
        <v>88</v>
      </c>
      <c r="AS42" s="13" t="s">
        <v>88</v>
      </c>
      <c r="AT42" s="13" t="s">
        <v>159</v>
      </c>
      <c r="AU42" s="13" t="s">
        <v>90</v>
      </c>
      <c r="AV42" s="12"/>
      <c r="AW42" s="12"/>
      <c r="AX42" s="12"/>
      <c r="AY42" s="12"/>
      <c r="AZ42" s="11">
        <v>1</v>
      </c>
      <c r="BA42" s="11">
        <v>1</v>
      </c>
      <c r="BB42" s="13" t="s">
        <v>60</v>
      </c>
      <c r="BC42" s="13" t="s">
        <v>61</v>
      </c>
      <c r="BD42" s="12"/>
      <c r="BE42" s="13" t="s">
        <v>62</v>
      </c>
      <c r="BF42" s="11">
        <v>120.771609190973</v>
      </c>
      <c r="BG42" s="13" t="s">
        <v>63</v>
      </c>
      <c r="BH42" s="12"/>
    </row>
    <row r="43" spans="1:60" x14ac:dyDescent="0.15">
      <c r="A43" s="14"/>
      <c r="B43" s="10">
        <v>21</v>
      </c>
      <c r="C43" s="11">
        <v>21</v>
      </c>
      <c r="D43" s="11">
        <v>0</v>
      </c>
      <c r="E43" s="12"/>
      <c r="F43" s="12"/>
      <c r="G43" s="20" t="s">
        <v>160</v>
      </c>
      <c r="H43" s="20" t="s">
        <v>79</v>
      </c>
      <c r="I43" s="20" t="s">
        <v>84</v>
      </c>
      <c r="J43" s="21"/>
      <c r="K43" s="13" t="s">
        <v>161</v>
      </c>
      <c r="L43" s="13" t="s">
        <v>162</v>
      </c>
      <c r="M43" s="13" t="s">
        <v>87</v>
      </c>
      <c r="N43" s="13" t="s">
        <v>88</v>
      </c>
      <c r="O43" s="13" t="s">
        <v>88</v>
      </c>
      <c r="P43" s="13" t="s">
        <v>163</v>
      </c>
      <c r="Q43" s="13" t="s">
        <v>90</v>
      </c>
      <c r="R43" s="12"/>
      <c r="S43" s="12"/>
      <c r="T43" s="12"/>
      <c r="U43" s="12"/>
      <c r="V43" s="11">
        <v>0</v>
      </c>
      <c r="W43" s="11">
        <v>21</v>
      </c>
      <c r="X43" s="11">
        <v>21</v>
      </c>
      <c r="Y43" s="11">
        <v>3</v>
      </c>
      <c r="Z43" s="11">
        <v>139.986279541161</v>
      </c>
      <c r="AA43" s="12"/>
      <c r="AB43" s="12"/>
      <c r="AC43" s="12"/>
      <c r="AD43" s="12"/>
      <c r="AE43" s="12"/>
      <c r="AF43" s="12"/>
      <c r="AG43" s="12"/>
      <c r="AH43" s="11">
        <v>139.96294029103601</v>
      </c>
      <c r="AI43" s="11">
        <v>139.986279541161</v>
      </c>
      <c r="AJ43" s="11">
        <v>139.986279541161</v>
      </c>
      <c r="AK43" s="11">
        <v>139.986279541161</v>
      </c>
      <c r="AL43" s="11">
        <v>1.60341686569154E-3</v>
      </c>
      <c r="AM43" s="11">
        <v>141.87792066601099</v>
      </c>
      <c r="AN43" s="12"/>
      <c r="AO43" s="13" t="s">
        <v>161</v>
      </c>
      <c r="AP43" s="13" t="s">
        <v>162</v>
      </c>
      <c r="AQ43" s="13" t="s">
        <v>87</v>
      </c>
      <c r="AR43" s="13" t="s">
        <v>88</v>
      </c>
      <c r="AS43" s="13" t="s">
        <v>88</v>
      </c>
      <c r="AT43" s="13" t="s">
        <v>163</v>
      </c>
      <c r="AU43" s="13" t="s">
        <v>90</v>
      </c>
      <c r="AV43" s="12"/>
      <c r="AW43" s="12"/>
      <c r="AX43" s="12"/>
      <c r="AY43" s="12"/>
      <c r="AZ43" s="11">
        <v>1</v>
      </c>
      <c r="BA43" s="11">
        <v>1</v>
      </c>
      <c r="BB43" s="13" t="s">
        <v>60</v>
      </c>
      <c r="BC43" s="13" t="s">
        <v>61</v>
      </c>
      <c r="BD43" s="12"/>
      <c r="BE43" s="13" t="s">
        <v>62</v>
      </c>
      <c r="BF43" s="11">
        <v>120.771609190973</v>
      </c>
      <c r="BG43" s="13" t="s">
        <v>63</v>
      </c>
      <c r="BH43" s="12"/>
    </row>
    <row r="44" spans="1:60" x14ac:dyDescent="0.15">
      <c r="A44" s="14"/>
      <c r="B44" s="10">
        <v>22</v>
      </c>
      <c r="C44" s="11">
        <v>22</v>
      </c>
      <c r="D44" s="11">
        <v>0</v>
      </c>
      <c r="E44" s="12"/>
      <c r="F44" s="12"/>
      <c r="G44" s="20" t="s">
        <v>164</v>
      </c>
      <c r="H44" s="20" t="s">
        <v>80</v>
      </c>
      <c r="I44" s="20" t="s">
        <v>84</v>
      </c>
      <c r="J44" s="20" t="s">
        <v>165</v>
      </c>
      <c r="K44" s="13" t="s">
        <v>161</v>
      </c>
      <c r="L44" s="13" t="s">
        <v>162</v>
      </c>
      <c r="M44" s="13" t="s">
        <v>87</v>
      </c>
      <c r="N44" s="13" t="s">
        <v>88</v>
      </c>
      <c r="O44" s="13" t="s">
        <v>88</v>
      </c>
      <c r="P44" s="13" t="s">
        <v>166</v>
      </c>
      <c r="Q44" s="13" t="s">
        <v>90</v>
      </c>
      <c r="R44" s="12"/>
      <c r="S44" s="12"/>
      <c r="T44" s="12"/>
      <c r="U44" s="12"/>
      <c r="V44" s="11">
        <v>0</v>
      </c>
      <c r="W44" s="11">
        <v>22</v>
      </c>
      <c r="X44" s="11">
        <v>22</v>
      </c>
      <c r="Y44" s="11">
        <v>15</v>
      </c>
      <c r="Z44" s="11">
        <v>141.90297279111101</v>
      </c>
      <c r="AA44" s="12"/>
      <c r="AB44" s="12"/>
      <c r="AC44" s="12"/>
      <c r="AD44" s="12"/>
      <c r="AE44" s="12"/>
      <c r="AF44" s="12"/>
      <c r="AG44" s="12"/>
      <c r="AH44" s="11">
        <v>141.87954516615699</v>
      </c>
      <c r="AI44" s="11">
        <v>141.90297279111101</v>
      </c>
      <c r="AJ44" s="11">
        <v>141.90297279111101</v>
      </c>
      <c r="AK44" s="11">
        <v>141.90297279111101</v>
      </c>
      <c r="AL44" s="11">
        <v>1.55208399519324E-3</v>
      </c>
      <c r="AM44" s="11">
        <v>148.39572129119199</v>
      </c>
      <c r="AN44" s="13" t="s">
        <v>165</v>
      </c>
      <c r="AO44" s="13" t="s">
        <v>161</v>
      </c>
      <c r="AP44" s="13" t="s">
        <v>162</v>
      </c>
      <c r="AQ44" s="13" t="s">
        <v>87</v>
      </c>
      <c r="AR44" s="13" t="s">
        <v>88</v>
      </c>
      <c r="AS44" s="13" t="s">
        <v>88</v>
      </c>
      <c r="AT44" s="13" t="s">
        <v>166</v>
      </c>
      <c r="AU44" s="13" t="s">
        <v>90</v>
      </c>
      <c r="AV44" s="12"/>
      <c r="AW44" s="12"/>
      <c r="AX44" s="12"/>
      <c r="AY44" s="12"/>
      <c r="AZ44" s="11">
        <v>1</v>
      </c>
      <c r="BA44" s="11">
        <v>1</v>
      </c>
      <c r="BB44" s="13" t="s">
        <v>60</v>
      </c>
      <c r="BC44" s="13" t="s">
        <v>61</v>
      </c>
      <c r="BD44" s="12"/>
      <c r="BE44" s="13" t="s">
        <v>62</v>
      </c>
      <c r="BF44" s="11">
        <v>120.771609190973</v>
      </c>
      <c r="BG44" s="13" t="s">
        <v>63</v>
      </c>
      <c r="BH44" s="12"/>
    </row>
    <row r="45" spans="1:60" x14ac:dyDescent="0.15">
      <c r="A45" s="14"/>
      <c r="B45" s="10">
        <v>23</v>
      </c>
      <c r="C45" s="11">
        <v>23</v>
      </c>
      <c r="D45" s="11">
        <v>0</v>
      </c>
      <c r="E45" s="12"/>
      <c r="F45" s="12"/>
      <c r="G45" s="13" t="s">
        <v>167</v>
      </c>
      <c r="H45" s="13" t="s">
        <v>59</v>
      </c>
      <c r="I45" s="13" t="s">
        <v>84</v>
      </c>
      <c r="J45" s="13" t="s">
        <v>59</v>
      </c>
      <c r="K45" s="13" t="s">
        <v>161</v>
      </c>
      <c r="L45" s="13" t="s">
        <v>162</v>
      </c>
      <c r="M45" s="13" t="s">
        <v>87</v>
      </c>
      <c r="N45" s="13" t="s">
        <v>88</v>
      </c>
      <c r="O45" s="13" t="s">
        <v>88</v>
      </c>
      <c r="P45" s="13" t="s">
        <v>168</v>
      </c>
      <c r="Q45" s="13" t="s">
        <v>90</v>
      </c>
      <c r="R45" s="12"/>
      <c r="S45" s="12"/>
      <c r="T45" s="12"/>
      <c r="U45" s="12"/>
      <c r="V45" s="11">
        <v>0</v>
      </c>
      <c r="W45" s="11">
        <v>23</v>
      </c>
      <c r="X45" s="11">
        <v>23</v>
      </c>
      <c r="Y45" s="11">
        <v>12</v>
      </c>
      <c r="Z45" s="11">
        <v>148.40699450019699</v>
      </c>
      <c r="AA45" s="12"/>
      <c r="AB45" s="12"/>
      <c r="AC45" s="12"/>
      <c r="AD45" s="12"/>
      <c r="AE45" s="12"/>
      <c r="AF45" s="12"/>
      <c r="AG45" s="12"/>
      <c r="AH45" s="11">
        <v>148.39819195819999</v>
      </c>
      <c r="AI45" s="11">
        <v>148.40699450019699</v>
      </c>
      <c r="AJ45" s="11">
        <v>148.40699450019699</v>
      </c>
      <c r="AK45" s="11">
        <v>148.40699450019699</v>
      </c>
      <c r="AL45" s="11">
        <v>2.3818751797080001E-3</v>
      </c>
      <c r="AM45" s="11">
        <v>152.44595012511101</v>
      </c>
      <c r="AN45" s="13" t="s">
        <v>59</v>
      </c>
      <c r="AO45" s="13" t="s">
        <v>161</v>
      </c>
      <c r="AP45" s="13" t="s">
        <v>162</v>
      </c>
      <c r="AQ45" s="13" t="s">
        <v>87</v>
      </c>
      <c r="AR45" s="13" t="s">
        <v>88</v>
      </c>
      <c r="AS45" s="13" t="s">
        <v>88</v>
      </c>
      <c r="AT45" s="13" t="s">
        <v>168</v>
      </c>
      <c r="AU45" s="13" t="s">
        <v>90</v>
      </c>
      <c r="AV45" s="12"/>
      <c r="AW45" s="12"/>
      <c r="AX45" s="12"/>
      <c r="AY45" s="12"/>
      <c r="AZ45" s="11">
        <v>1</v>
      </c>
      <c r="BA45" s="11">
        <v>1</v>
      </c>
      <c r="BB45" s="13" t="s">
        <v>60</v>
      </c>
      <c r="BC45" s="13" t="s">
        <v>61</v>
      </c>
      <c r="BD45" s="12"/>
      <c r="BE45" s="13" t="s">
        <v>62</v>
      </c>
      <c r="BF45" s="11">
        <v>120.771609190973</v>
      </c>
      <c r="BG45" s="13" t="s">
        <v>63</v>
      </c>
      <c r="BH45" s="12"/>
    </row>
    <row r="46" spans="1:60" x14ac:dyDescent="0.15">
      <c r="A46" s="14"/>
      <c r="B46" s="10">
        <v>24</v>
      </c>
      <c r="C46" s="11">
        <v>24</v>
      </c>
      <c r="D46" s="11">
        <v>0</v>
      </c>
      <c r="E46" s="12"/>
      <c r="F46" s="12"/>
      <c r="G46" s="13" t="s">
        <v>169</v>
      </c>
      <c r="H46" s="13" t="s">
        <v>77</v>
      </c>
      <c r="I46" s="13" t="s">
        <v>84</v>
      </c>
      <c r="J46" s="13" t="s">
        <v>77</v>
      </c>
      <c r="K46" s="13" t="s">
        <v>161</v>
      </c>
      <c r="L46" s="13" t="s">
        <v>162</v>
      </c>
      <c r="M46" s="13" t="s">
        <v>87</v>
      </c>
      <c r="N46" s="13" t="s">
        <v>88</v>
      </c>
      <c r="O46" s="13" t="s">
        <v>88</v>
      </c>
      <c r="P46" s="13" t="s">
        <v>170</v>
      </c>
      <c r="Q46" s="13" t="s">
        <v>90</v>
      </c>
      <c r="R46" s="12"/>
      <c r="S46" s="12"/>
      <c r="T46" s="12"/>
      <c r="U46" s="12"/>
      <c r="V46" s="11">
        <v>0</v>
      </c>
      <c r="W46" s="11">
        <v>24</v>
      </c>
      <c r="X46" s="11">
        <v>24</v>
      </c>
      <c r="Y46" s="11">
        <v>10</v>
      </c>
      <c r="Z46" s="11">
        <v>152.45702704112</v>
      </c>
      <c r="AA46" s="12"/>
      <c r="AB46" s="12"/>
      <c r="AC46" s="12"/>
      <c r="AD46" s="12"/>
      <c r="AE46" s="12"/>
      <c r="AF46" s="12"/>
      <c r="AG46" s="12"/>
      <c r="AH46" s="11">
        <v>152.44829012500099</v>
      </c>
      <c r="AI46" s="11">
        <v>152.45702704112</v>
      </c>
      <c r="AJ46" s="11">
        <v>152.45702704112</v>
      </c>
      <c r="AK46" s="11">
        <v>152.45702704112</v>
      </c>
      <c r="AL46" s="11">
        <v>2.2497079335153099E-3</v>
      </c>
      <c r="AM46" s="11">
        <v>155.47878212505</v>
      </c>
      <c r="AN46" s="13" t="s">
        <v>77</v>
      </c>
      <c r="AO46" s="13" t="s">
        <v>161</v>
      </c>
      <c r="AP46" s="13" t="s">
        <v>162</v>
      </c>
      <c r="AQ46" s="13" t="s">
        <v>87</v>
      </c>
      <c r="AR46" s="13" t="s">
        <v>88</v>
      </c>
      <c r="AS46" s="13" t="s">
        <v>88</v>
      </c>
      <c r="AT46" s="13" t="s">
        <v>170</v>
      </c>
      <c r="AU46" s="13" t="s">
        <v>90</v>
      </c>
      <c r="AV46" s="12"/>
      <c r="AW46" s="12"/>
      <c r="AX46" s="12"/>
      <c r="AY46" s="12"/>
      <c r="AZ46" s="11">
        <v>1</v>
      </c>
      <c r="BA46" s="11">
        <v>1</v>
      </c>
      <c r="BB46" s="13" t="s">
        <v>60</v>
      </c>
      <c r="BC46" s="13" t="s">
        <v>61</v>
      </c>
      <c r="BD46" s="12"/>
      <c r="BE46" s="13" t="s">
        <v>62</v>
      </c>
      <c r="BF46" s="11">
        <v>120.771609190973</v>
      </c>
      <c r="BG46" s="13" t="s">
        <v>63</v>
      </c>
      <c r="BH46" s="12"/>
    </row>
    <row r="49" spans="11:13" x14ac:dyDescent="0.15">
      <c r="K49" s="19" t="s">
        <v>630</v>
      </c>
      <c r="L49" s="19" t="s">
        <v>632</v>
      </c>
      <c r="M49" s="1">
        <f>6/12</f>
        <v>0.5</v>
      </c>
    </row>
    <row r="50" spans="11:13" x14ac:dyDescent="0.15">
      <c r="K50" s="19" t="s">
        <v>631</v>
      </c>
      <c r="L50" s="19" t="s">
        <v>633</v>
      </c>
      <c r="M50" s="1">
        <f>2/3</f>
        <v>0.66666666666666663</v>
      </c>
    </row>
    <row r="52" spans="11:13" x14ac:dyDescent="0.15">
      <c r="K52" s="19" t="s">
        <v>634</v>
      </c>
      <c r="M52" s="1">
        <f>M49-M50</f>
        <v>-0.16666666666666663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8808-0075-1D4D-B5D8-32A7552CC92C}">
  <dimension ref="A1:BH53"/>
  <sheetViews>
    <sheetView topLeftCell="A43" zoomScaleNormal="157" workbookViewId="0">
      <selection activeCell="M53" sqref="M53"/>
    </sheetView>
  </sheetViews>
  <sheetFormatPr baseColWidth="10" defaultRowHeight="13" x14ac:dyDescent="0.15"/>
  <cols>
    <col min="11" max="11" width="29.5" customWidth="1"/>
    <col min="12" max="12" width="12.33203125" bestFit="1" customWidth="1"/>
    <col min="13" max="13" width="22.33203125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77</v>
      </c>
      <c r="B2" s="17">
        <v>0</v>
      </c>
      <c r="C2" s="17">
        <v>0</v>
      </c>
      <c r="D2" s="17">
        <v>0</v>
      </c>
      <c r="E2" s="17">
        <v>1.02517985611511</v>
      </c>
      <c r="F2" s="17">
        <v>2.61807841691189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10</v>
      </c>
      <c r="V2" s="16"/>
      <c r="W2" s="16"/>
      <c r="X2" s="16"/>
      <c r="Y2" s="16"/>
      <c r="Z2" s="17">
        <v>3.7078500026836998E-2</v>
      </c>
      <c r="AA2" s="16"/>
      <c r="AB2" s="17">
        <v>1.83788328431547E-2</v>
      </c>
      <c r="AC2" s="17">
        <v>3.7078500026836998E-2</v>
      </c>
      <c r="AD2" s="17">
        <v>3.7078500026836998E-2</v>
      </c>
      <c r="AE2" s="17">
        <v>2.6454377498012001</v>
      </c>
      <c r="AF2" s="17">
        <v>1.02517985611511</v>
      </c>
      <c r="AG2" s="17">
        <v>2.61807841691189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>
        <v>1.1000000000000001</v>
      </c>
      <c r="BA2" s="17">
        <v>1</v>
      </c>
      <c r="BB2" s="17" t="s">
        <v>171</v>
      </c>
      <c r="BC2" s="17" t="s">
        <v>61</v>
      </c>
      <c r="BD2" s="16"/>
      <c r="BE2" s="17" t="s">
        <v>62</v>
      </c>
      <c r="BF2" s="17" t="s">
        <v>172</v>
      </c>
      <c r="BG2" s="17" t="s">
        <v>173</v>
      </c>
      <c r="BH2" s="16"/>
    </row>
    <row r="3" spans="1:60" ht="56" x14ac:dyDescent="0.15">
      <c r="A3" s="15" t="s">
        <v>68</v>
      </c>
      <c r="B3" s="17">
        <v>1</v>
      </c>
      <c r="C3" s="17">
        <v>1</v>
      </c>
      <c r="D3" s="17">
        <v>0</v>
      </c>
      <c r="E3" s="17">
        <v>1</v>
      </c>
      <c r="F3" s="17">
        <v>2.4047201250214099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17</v>
      </c>
      <c r="V3" s="16"/>
      <c r="W3" s="16"/>
      <c r="X3" s="16"/>
      <c r="Y3" s="16"/>
      <c r="Z3" s="17">
        <v>2.65543449996039</v>
      </c>
      <c r="AA3" s="16"/>
      <c r="AB3" s="17">
        <v>2.6488094998057901</v>
      </c>
      <c r="AC3" s="17">
        <v>2.65543449996039</v>
      </c>
      <c r="AD3" s="17">
        <v>2.65543449996039</v>
      </c>
      <c r="AE3" s="17">
        <v>5.0625434578396398</v>
      </c>
      <c r="AF3" s="17">
        <v>1</v>
      </c>
      <c r="AG3" s="17">
        <v>2.4047201250214099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>
        <v>1.1000000000000001</v>
      </c>
      <c r="BA3" s="17">
        <v>1</v>
      </c>
      <c r="BB3" s="17" t="s">
        <v>171</v>
      </c>
      <c r="BC3" s="17" t="s">
        <v>61</v>
      </c>
      <c r="BD3" s="16"/>
      <c r="BE3" s="17" t="s">
        <v>62</v>
      </c>
      <c r="BF3" s="17" t="s">
        <v>172</v>
      </c>
      <c r="BG3" s="17" t="s">
        <v>173</v>
      </c>
      <c r="BH3" s="16"/>
    </row>
    <row r="4" spans="1:60" ht="56" x14ac:dyDescent="0.15">
      <c r="A4" s="15" t="s">
        <v>71</v>
      </c>
      <c r="B4" s="17">
        <v>2</v>
      </c>
      <c r="C4" s="17">
        <v>2</v>
      </c>
      <c r="D4" s="17">
        <v>0</v>
      </c>
      <c r="E4" s="17">
        <v>1</v>
      </c>
      <c r="F4" s="17">
        <v>2.53919695899822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19</v>
      </c>
      <c r="V4" s="16"/>
      <c r="W4" s="16"/>
      <c r="X4" s="16"/>
      <c r="Y4" s="16"/>
      <c r="Z4" s="17">
        <v>5.0721188329625901</v>
      </c>
      <c r="AA4" s="16"/>
      <c r="AB4" s="17">
        <v>5.06550575001165</v>
      </c>
      <c r="AC4" s="17">
        <v>5.0721188329625901</v>
      </c>
      <c r="AD4" s="17">
        <v>5.0721188329625901</v>
      </c>
      <c r="AE4" s="17">
        <v>7.6122143748216304</v>
      </c>
      <c r="AF4" s="17">
        <v>1</v>
      </c>
      <c r="AG4" s="17">
        <v>2.53919695899822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>
        <v>1.1000000000000001</v>
      </c>
      <c r="BA4" s="17">
        <v>1</v>
      </c>
      <c r="BB4" s="17" t="s">
        <v>171</v>
      </c>
      <c r="BC4" s="17" t="s">
        <v>61</v>
      </c>
      <c r="BD4" s="16"/>
      <c r="BE4" s="17" t="s">
        <v>62</v>
      </c>
      <c r="BF4" s="17" t="s">
        <v>172</v>
      </c>
      <c r="BG4" s="17" t="s">
        <v>173</v>
      </c>
      <c r="BH4" s="16"/>
    </row>
    <row r="5" spans="1:60" ht="56" x14ac:dyDescent="0.15">
      <c r="A5" s="15" t="s">
        <v>78</v>
      </c>
      <c r="B5" s="17">
        <v>3</v>
      </c>
      <c r="C5" s="17">
        <v>3</v>
      </c>
      <c r="D5" s="17">
        <v>0</v>
      </c>
      <c r="E5" s="17">
        <v>1</v>
      </c>
      <c r="F5" s="17">
        <v>1.2549090408720101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5</v>
      </c>
      <c r="V5" s="16"/>
      <c r="W5" s="16"/>
      <c r="X5" s="16"/>
      <c r="Y5" s="16"/>
      <c r="Z5" s="17">
        <v>7.6216102079488302</v>
      </c>
      <c r="AA5" s="16"/>
      <c r="AB5" s="17">
        <v>7.6150969578884498</v>
      </c>
      <c r="AC5" s="17">
        <v>7.6216102079488302</v>
      </c>
      <c r="AD5" s="17">
        <v>7.6216102079488302</v>
      </c>
      <c r="AE5" s="17">
        <v>8.8792131659574807</v>
      </c>
      <c r="AF5" s="17">
        <v>1</v>
      </c>
      <c r="AG5" s="17">
        <v>1.2549090408720101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>
        <v>1.1000000000000001</v>
      </c>
      <c r="BA5" s="17">
        <v>1</v>
      </c>
      <c r="BB5" s="17" t="s">
        <v>171</v>
      </c>
      <c r="BC5" s="17" t="s">
        <v>61</v>
      </c>
      <c r="BD5" s="16"/>
      <c r="BE5" s="17" t="s">
        <v>62</v>
      </c>
      <c r="BF5" s="17" t="s">
        <v>172</v>
      </c>
      <c r="BG5" s="17" t="s">
        <v>173</v>
      </c>
      <c r="BH5" s="16"/>
    </row>
    <row r="6" spans="1:60" ht="56" x14ac:dyDescent="0.15">
      <c r="A6" s="15" t="s">
        <v>73</v>
      </c>
      <c r="B6" s="17">
        <v>4</v>
      </c>
      <c r="C6" s="17">
        <v>4</v>
      </c>
      <c r="D6" s="17">
        <v>0</v>
      </c>
      <c r="E6" s="17">
        <v>1</v>
      </c>
      <c r="F6" s="17">
        <v>1.5550155001692501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14</v>
      </c>
      <c r="V6" s="16"/>
      <c r="W6" s="16"/>
      <c r="X6" s="16"/>
      <c r="Y6" s="16"/>
      <c r="Z6" s="17">
        <v>8.8882579999044502</v>
      </c>
      <c r="AA6" s="16"/>
      <c r="AB6" s="17">
        <v>8.8817607499659097</v>
      </c>
      <c r="AC6" s="17">
        <v>8.8882579999044502</v>
      </c>
      <c r="AD6" s="17">
        <v>8.8882579999044502</v>
      </c>
      <c r="AE6" s="17">
        <v>10.445878040976799</v>
      </c>
      <c r="AF6" s="17">
        <v>1</v>
      </c>
      <c r="AG6" s="17">
        <v>1.5550155001692501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>
        <v>1.1000000000000001</v>
      </c>
      <c r="BA6" s="17">
        <v>1</v>
      </c>
      <c r="BB6" s="17" t="s">
        <v>171</v>
      </c>
      <c r="BC6" s="17" t="s">
        <v>61</v>
      </c>
      <c r="BD6" s="16"/>
      <c r="BE6" s="17" t="s">
        <v>62</v>
      </c>
      <c r="BF6" s="17" t="s">
        <v>172</v>
      </c>
      <c r="BG6" s="17" t="s">
        <v>173</v>
      </c>
      <c r="BH6" s="16"/>
    </row>
    <row r="7" spans="1:60" ht="56" x14ac:dyDescent="0.15">
      <c r="A7" s="15" t="s">
        <v>80</v>
      </c>
      <c r="B7" s="17">
        <v>5</v>
      </c>
      <c r="C7" s="17">
        <v>5</v>
      </c>
      <c r="D7" s="17">
        <v>0</v>
      </c>
      <c r="E7" s="17">
        <v>1</v>
      </c>
      <c r="F7" s="17">
        <v>1.90425595780835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15</v>
      </c>
      <c r="V7" s="16"/>
      <c r="W7" s="16"/>
      <c r="X7" s="16"/>
      <c r="Y7" s="16"/>
      <c r="Z7" s="17">
        <v>10.455516165820899</v>
      </c>
      <c r="AA7" s="16"/>
      <c r="AB7" s="17">
        <v>10.449002915993301</v>
      </c>
      <c r="AC7" s="17">
        <v>10.455516165820899</v>
      </c>
      <c r="AD7" s="17">
        <v>10.455516165820899</v>
      </c>
      <c r="AE7" s="17">
        <v>12.362464332953101</v>
      </c>
      <c r="AF7" s="17">
        <v>1</v>
      </c>
      <c r="AG7" s="17">
        <v>1.90425595780835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>
        <v>1.1000000000000001</v>
      </c>
      <c r="BA7" s="17">
        <v>1</v>
      </c>
      <c r="BB7" s="17" t="s">
        <v>171</v>
      </c>
      <c r="BC7" s="17" t="s">
        <v>61</v>
      </c>
      <c r="BD7" s="16"/>
      <c r="BE7" s="17" t="s">
        <v>62</v>
      </c>
      <c r="BF7" s="17" t="s">
        <v>172</v>
      </c>
      <c r="BG7" s="17" t="s">
        <v>173</v>
      </c>
      <c r="BH7" s="16"/>
    </row>
    <row r="8" spans="1:60" ht="56" x14ac:dyDescent="0.15">
      <c r="A8" s="15" t="s">
        <v>65</v>
      </c>
      <c r="B8" s="17">
        <v>6</v>
      </c>
      <c r="C8" s="17">
        <v>6</v>
      </c>
      <c r="D8" s="17">
        <v>0</v>
      </c>
      <c r="E8" s="17">
        <v>4.9712230215827304</v>
      </c>
      <c r="F8" s="17">
        <v>3.08896608394571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11</v>
      </c>
      <c r="V8" s="16"/>
      <c r="W8" s="16"/>
      <c r="X8" s="16"/>
      <c r="Y8" s="16"/>
      <c r="Z8" s="17">
        <v>12.3707248328719</v>
      </c>
      <c r="AA8" s="16"/>
      <c r="AB8" s="17">
        <v>12.364309999859</v>
      </c>
      <c r="AC8" s="17">
        <v>12.3707248328719</v>
      </c>
      <c r="AD8" s="17">
        <v>12.3707248328719</v>
      </c>
      <c r="AE8" s="17">
        <v>15.4623832078651</v>
      </c>
      <c r="AF8" s="17">
        <v>4.9712230215827304</v>
      </c>
      <c r="AG8" s="17">
        <v>3.08896608394571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>
        <v>1.1000000000000001</v>
      </c>
      <c r="BA8" s="17">
        <v>1</v>
      </c>
      <c r="BB8" s="17" t="s">
        <v>171</v>
      </c>
      <c r="BC8" s="17" t="s">
        <v>61</v>
      </c>
      <c r="BD8" s="16"/>
      <c r="BE8" s="17" t="s">
        <v>62</v>
      </c>
      <c r="BF8" s="17" t="s">
        <v>172</v>
      </c>
      <c r="BG8" s="17" t="s">
        <v>173</v>
      </c>
      <c r="BH8" s="16"/>
    </row>
    <row r="9" spans="1:60" ht="56" x14ac:dyDescent="0.15">
      <c r="A9" s="15" t="s">
        <v>81</v>
      </c>
      <c r="B9" s="17">
        <v>7</v>
      </c>
      <c r="C9" s="17">
        <v>7</v>
      </c>
      <c r="D9" s="17">
        <v>0</v>
      </c>
      <c r="E9" s="17">
        <v>1</v>
      </c>
      <c r="F9" s="17">
        <v>2.0556546670850402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4</v>
      </c>
      <c r="V9" s="16"/>
      <c r="W9" s="16"/>
      <c r="X9" s="16"/>
      <c r="Y9" s="16"/>
      <c r="Z9" s="17">
        <v>15.4709307078738</v>
      </c>
      <c r="AA9" s="16"/>
      <c r="AB9" s="17">
        <v>15.464144249912399</v>
      </c>
      <c r="AC9" s="17">
        <v>15.4709307078738</v>
      </c>
      <c r="AD9" s="17">
        <v>15.4709307078738</v>
      </c>
      <c r="AE9" s="17">
        <v>17.5291165828239</v>
      </c>
      <c r="AF9" s="17">
        <v>1</v>
      </c>
      <c r="AG9" s="17">
        <v>2.0556546670850402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>
        <v>1.1000000000000001</v>
      </c>
      <c r="BA9" s="17">
        <v>1</v>
      </c>
      <c r="BB9" s="17" t="s">
        <v>171</v>
      </c>
      <c r="BC9" s="17" t="s">
        <v>61</v>
      </c>
      <c r="BD9" s="16"/>
      <c r="BE9" s="17" t="s">
        <v>62</v>
      </c>
      <c r="BF9" s="17" t="s">
        <v>172</v>
      </c>
      <c r="BG9" s="17" t="s">
        <v>173</v>
      </c>
      <c r="BH9" s="16"/>
    </row>
    <row r="10" spans="1:60" ht="56" x14ac:dyDescent="0.15">
      <c r="A10" s="15" t="s">
        <v>72</v>
      </c>
      <c r="B10" s="17">
        <v>8</v>
      </c>
      <c r="C10" s="17">
        <v>8</v>
      </c>
      <c r="D10" s="17">
        <v>0</v>
      </c>
      <c r="E10" s="17">
        <v>1</v>
      </c>
      <c r="F10" s="17">
        <v>1.1228307092096701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0</v>
      </c>
      <c r="V10" s="16"/>
      <c r="W10" s="16"/>
      <c r="X10" s="16"/>
      <c r="Y10" s="16"/>
      <c r="Z10" s="17">
        <v>17.5371048329398</v>
      </c>
      <c r="AA10" s="16"/>
      <c r="AB10" s="17">
        <v>17.530627207830602</v>
      </c>
      <c r="AC10" s="17">
        <v>17.5371048329398</v>
      </c>
      <c r="AD10" s="17">
        <v>17.5371048329398</v>
      </c>
      <c r="AE10" s="17">
        <v>18.662609665887398</v>
      </c>
      <c r="AF10" s="17">
        <v>1</v>
      </c>
      <c r="AG10" s="17">
        <v>1.1228307092096701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>
        <v>1.1000000000000001</v>
      </c>
      <c r="BA10" s="17">
        <v>1</v>
      </c>
      <c r="BB10" s="17" t="s">
        <v>171</v>
      </c>
      <c r="BC10" s="17" t="s">
        <v>61</v>
      </c>
      <c r="BD10" s="16"/>
      <c r="BE10" s="17" t="s">
        <v>62</v>
      </c>
      <c r="BF10" s="17" t="s">
        <v>172</v>
      </c>
      <c r="BG10" s="17" t="s">
        <v>173</v>
      </c>
      <c r="BH10" s="16"/>
    </row>
    <row r="11" spans="1:60" ht="56" x14ac:dyDescent="0.15">
      <c r="A11" s="15" t="s">
        <v>79</v>
      </c>
      <c r="B11" s="17">
        <v>9</v>
      </c>
      <c r="C11" s="17">
        <v>9</v>
      </c>
      <c r="D11" s="17">
        <v>0</v>
      </c>
      <c r="E11" s="17">
        <v>1</v>
      </c>
      <c r="F11" s="17">
        <v>1.7714772920589901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3</v>
      </c>
      <c r="V11" s="16"/>
      <c r="W11" s="16"/>
      <c r="X11" s="16"/>
      <c r="Y11" s="16"/>
      <c r="Z11" s="17">
        <v>18.672114749904701</v>
      </c>
      <c r="AA11" s="16"/>
      <c r="AB11" s="17">
        <v>18.6654874158558</v>
      </c>
      <c r="AC11" s="17">
        <v>18.672114749904701</v>
      </c>
      <c r="AD11" s="17">
        <v>18.672114749904701</v>
      </c>
      <c r="AE11" s="17">
        <v>20.445843332912801</v>
      </c>
      <c r="AF11" s="17">
        <v>1</v>
      </c>
      <c r="AG11" s="17">
        <v>1.7714772920589901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>
        <v>1.1000000000000001</v>
      </c>
      <c r="BA11" s="17">
        <v>1</v>
      </c>
      <c r="BB11" s="17" t="s">
        <v>171</v>
      </c>
      <c r="BC11" s="17" t="s">
        <v>61</v>
      </c>
      <c r="BD11" s="16"/>
      <c r="BE11" s="17" t="s">
        <v>62</v>
      </c>
      <c r="BF11" s="17" t="s">
        <v>172</v>
      </c>
      <c r="BG11" s="17" t="s">
        <v>173</v>
      </c>
      <c r="BH11" s="16"/>
    </row>
    <row r="12" spans="1:60" ht="56" x14ac:dyDescent="0.15">
      <c r="A12" s="15" t="s">
        <v>75</v>
      </c>
      <c r="B12" s="17">
        <v>10</v>
      </c>
      <c r="C12" s="17">
        <v>10</v>
      </c>
      <c r="D12" s="17">
        <v>0</v>
      </c>
      <c r="E12" s="17">
        <v>1</v>
      </c>
      <c r="F12" s="17">
        <v>1.18797774985433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7</v>
      </c>
      <c r="V12" s="16"/>
      <c r="W12" s="16"/>
      <c r="X12" s="16"/>
      <c r="Y12" s="16"/>
      <c r="Z12" s="17">
        <v>20.4551051249728</v>
      </c>
      <c r="AA12" s="16"/>
      <c r="AB12" s="17">
        <v>20.448568749940002</v>
      </c>
      <c r="AC12" s="17">
        <v>20.4551051249728</v>
      </c>
      <c r="AD12" s="17">
        <v>20.4551051249728</v>
      </c>
      <c r="AE12" s="17">
        <v>21.645755165955102</v>
      </c>
      <c r="AF12" s="17">
        <v>1</v>
      </c>
      <c r="AG12" s="17">
        <v>1.18797774985433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>
        <v>1.1000000000000001</v>
      </c>
      <c r="BA12" s="17">
        <v>1</v>
      </c>
      <c r="BB12" s="17" t="s">
        <v>171</v>
      </c>
      <c r="BC12" s="17" t="s">
        <v>61</v>
      </c>
      <c r="BD12" s="16"/>
      <c r="BE12" s="17" t="s">
        <v>62</v>
      </c>
      <c r="BF12" s="17" t="s">
        <v>172</v>
      </c>
      <c r="BG12" s="17" t="s">
        <v>173</v>
      </c>
      <c r="BH12" s="16"/>
    </row>
    <row r="13" spans="1:60" ht="56" x14ac:dyDescent="0.15">
      <c r="A13" s="15" t="s">
        <v>59</v>
      </c>
      <c r="B13" s="17">
        <v>11</v>
      </c>
      <c r="C13" s="17">
        <v>11</v>
      </c>
      <c r="D13" s="17">
        <v>0</v>
      </c>
      <c r="E13" s="17">
        <v>1</v>
      </c>
      <c r="F13" s="17">
        <v>1.45587733294815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12</v>
      </c>
      <c r="V13" s="16"/>
      <c r="W13" s="16"/>
      <c r="X13" s="16"/>
      <c r="Y13" s="16"/>
      <c r="Z13" s="17">
        <v>21.653947124956201</v>
      </c>
      <c r="AA13" s="16"/>
      <c r="AB13" s="17">
        <v>21.647478707833201</v>
      </c>
      <c r="AC13" s="17">
        <v>21.653947124956201</v>
      </c>
      <c r="AD13" s="17">
        <v>21.653947124956201</v>
      </c>
      <c r="AE13" s="17">
        <v>23.112367250025301</v>
      </c>
      <c r="AF13" s="17">
        <v>1</v>
      </c>
      <c r="AG13" s="17">
        <v>1.45587733294815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>
        <v>1.1000000000000001</v>
      </c>
      <c r="BA13" s="17">
        <v>1</v>
      </c>
      <c r="BB13" s="17" t="s">
        <v>171</v>
      </c>
      <c r="BC13" s="17" t="s">
        <v>61</v>
      </c>
      <c r="BD13" s="16"/>
      <c r="BE13" s="17" t="s">
        <v>62</v>
      </c>
      <c r="BF13" s="17" t="s">
        <v>172</v>
      </c>
      <c r="BG13" s="17" t="s">
        <v>173</v>
      </c>
      <c r="BH13" s="16"/>
    </row>
    <row r="14" spans="1:60" ht="56" x14ac:dyDescent="0.15">
      <c r="A14" s="15" t="s">
        <v>66</v>
      </c>
      <c r="B14" s="17">
        <v>12</v>
      </c>
      <c r="C14" s="17">
        <v>12</v>
      </c>
      <c r="D14" s="17">
        <v>0</v>
      </c>
      <c r="E14" s="17">
        <v>1</v>
      </c>
      <c r="F14" s="17">
        <v>1.40621291589923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</v>
      </c>
      <c r="V14" s="16"/>
      <c r="W14" s="16"/>
      <c r="X14" s="16"/>
      <c r="Y14" s="16"/>
      <c r="Z14" s="17">
        <v>23.120492707937998</v>
      </c>
      <c r="AA14" s="16"/>
      <c r="AB14" s="17">
        <v>23.113983749877701</v>
      </c>
      <c r="AC14" s="17">
        <v>23.120492707937998</v>
      </c>
      <c r="AD14" s="17">
        <v>23.120492707937998</v>
      </c>
      <c r="AE14" s="17">
        <v>24.529158374993099</v>
      </c>
      <c r="AF14" s="17">
        <v>1</v>
      </c>
      <c r="AG14" s="17">
        <v>1.40621291589923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>
        <v>1.1000000000000001</v>
      </c>
      <c r="BA14" s="17">
        <v>1</v>
      </c>
      <c r="BB14" s="17" t="s">
        <v>171</v>
      </c>
      <c r="BC14" s="17" t="s">
        <v>61</v>
      </c>
      <c r="BD14" s="16"/>
      <c r="BE14" s="17" t="s">
        <v>62</v>
      </c>
      <c r="BF14" s="17" t="s">
        <v>172</v>
      </c>
      <c r="BG14" s="17" t="s">
        <v>173</v>
      </c>
      <c r="BH14" s="16"/>
    </row>
    <row r="15" spans="1:60" ht="56" x14ac:dyDescent="0.15">
      <c r="A15" s="15" t="s">
        <v>64</v>
      </c>
      <c r="B15" s="17">
        <v>13</v>
      </c>
      <c r="C15" s="17">
        <v>13</v>
      </c>
      <c r="D15" s="17">
        <v>0</v>
      </c>
      <c r="E15" s="17">
        <v>5</v>
      </c>
      <c r="F15" s="17">
        <v>3.0549418330192601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18</v>
      </c>
      <c r="V15" s="16"/>
      <c r="W15" s="16"/>
      <c r="X15" s="16"/>
      <c r="Y15" s="16"/>
      <c r="Z15" s="17">
        <v>24.537676790961999</v>
      </c>
      <c r="AA15" s="16"/>
      <c r="AB15" s="17">
        <v>24.5310378749855</v>
      </c>
      <c r="AC15" s="17">
        <v>24.537676790961999</v>
      </c>
      <c r="AD15" s="17">
        <v>24.537676790961999</v>
      </c>
      <c r="AE15" s="17">
        <v>27.595800583018001</v>
      </c>
      <c r="AF15" s="17">
        <v>5</v>
      </c>
      <c r="AG15" s="17">
        <v>3.0549418330192601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>
        <v>1.1000000000000001</v>
      </c>
      <c r="BA15" s="17">
        <v>1</v>
      </c>
      <c r="BB15" s="17" t="s">
        <v>171</v>
      </c>
      <c r="BC15" s="17" t="s">
        <v>61</v>
      </c>
      <c r="BD15" s="16"/>
      <c r="BE15" s="17" t="s">
        <v>62</v>
      </c>
      <c r="BF15" s="17" t="s">
        <v>172</v>
      </c>
      <c r="BG15" s="17" t="s">
        <v>173</v>
      </c>
      <c r="BH15" s="16"/>
    </row>
    <row r="16" spans="1:60" ht="56" x14ac:dyDescent="0.15">
      <c r="A16" s="15" t="s">
        <v>70</v>
      </c>
      <c r="B16" s="17">
        <v>14</v>
      </c>
      <c r="C16" s="17">
        <v>14</v>
      </c>
      <c r="D16" s="17">
        <v>0</v>
      </c>
      <c r="E16" s="17">
        <v>1.0071942446043201</v>
      </c>
      <c r="F16" s="17">
        <v>2.7554717920720599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2</v>
      </c>
      <c r="V16" s="16"/>
      <c r="W16" s="16"/>
      <c r="X16" s="16"/>
      <c r="Y16" s="16"/>
      <c r="Z16" s="17">
        <v>27.604424290824699</v>
      </c>
      <c r="AA16" s="16"/>
      <c r="AB16" s="17">
        <v>27.5978434998542</v>
      </c>
      <c r="AC16" s="17">
        <v>27.604424290824699</v>
      </c>
      <c r="AD16" s="17">
        <v>27.604424290824699</v>
      </c>
      <c r="AE16" s="17">
        <v>30.362404749961598</v>
      </c>
      <c r="AF16" s="17">
        <v>1.0071942446043201</v>
      </c>
      <c r="AG16" s="17">
        <v>2.7554717920720599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>
        <v>1.1000000000000001</v>
      </c>
      <c r="BA16" s="17">
        <v>1</v>
      </c>
      <c r="BB16" s="17" t="s">
        <v>171</v>
      </c>
      <c r="BC16" s="17" t="s">
        <v>61</v>
      </c>
      <c r="BD16" s="16"/>
      <c r="BE16" s="17" t="s">
        <v>62</v>
      </c>
      <c r="BF16" s="17" t="s">
        <v>172</v>
      </c>
      <c r="BG16" s="17" t="s">
        <v>173</v>
      </c>
      <c r="BH16" s="16"/>
    </row>
    <row r="17" spans="1:60" ht="56" x14ac:dyDescent="0.15">
      <c r="A17" s="15" t="s">
        <v>76</v>
      </c>
      <c r="B17" s="17">
        <v>15</v>
      </c>
      <c r="C17" s="17">
        <v>15</v>
      </c>
      <c r="D17" s="17">
        <v>0</v>
      </c>
      <c r="E17" s="17">
        <v>1.0071942446043201</v>
      </c>
      <c r="F17" s="17">
        <v>1.3226577918976501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6</v>
      </c>
      <c r="V17" s="16"/>
      <c r="W17" s="16"/>
      <c r="X17" s="16"/>
      <c r="Y17" s="16"/>
      <c r="Z17" s="17">
        <v>30.3705885829404</v>
      </c>
      <c r="AA17" s="16"/>
      <c r="AB17" s="17">
        <v>30.364185874815998</v>
      </c>
      <c r="AC17" s="17">
        <v>30.3705885829404</v>
      </c>
      <c r="AD17" s="17">
        <v>30.3705885829404</v>
      </c>
      <c r="AE17" s="17">
        <v>31.695783540839301</v>
      </c>
      <c r="AF17" s="17">
        <v>1.0071942446043201</v>
      </c>
      <c r="AG17" s="17">
        <v>1.3226577918976501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>
        <v>1.1000000000000001</v>
      </c>
      <c r="BA17" s="17">
        <v>1</v>
      </c>
      <c r="BB17" s="17" t="s">
        <v>171</v>
      </c>
      <c r="BC17" s="17" t="s">
        <v>61</v>
      </c>
      <c r="BD17" s="16"/>
      <c r="BE17" s="17" t="s">
        <v>62</v>
      </c>
      <c r="BF17" s="17" t="s">
        <v>172</v>
      </c>
      <c r="BG17" s="17" t="s">
        <v>173</v>
      </c>
      <c r="BH17" s="16"/>
    </row>
    <row r="18" spans="1:60" ht="56" x14ac:dyDescent="0.15">
      <c r="A18" s="15" t="s">
        <v>74</v>
      </c>
      <c r="B18" s="17">
        <v>16</v>
      </c>
      <c r="C18" s="17">
        <v>16</v>
      </c>
      <c r="D18" s="17">
        <v>0</v>
      </c>
      <c r="E18" s="17">
        <v>4.9352517985611497</v>
      </c>
      <c r="F18" s="17">
        <v>3.17246383288875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13</v>
      </c>
      <c r="V18" s="16"/>
      <c r="W18" s="16"/>
      <c r="X18" s="16"/>
      <c r="Y18" s="16"/>
      <c r="Z18" s="17">
        <v>31.704130582977101</v>
      </c>
      <c r="AA18" s="16"/>
      <c r="AB18" s="17">
        <v>31.697588207898701</v>
      </c>
      <c r="AC18" s="17">
        <v>31.704130582977101</v>
      </c>
      <c r="AD18" s="17">
        <v>31.704130582977101</v>
      </c>
      <c r="AE18" s="17">
        <v>34.879130624933197</v>
      </c>
      <c r="AF18" s="17">
        <v>4.9352517985611497</v>
      </c>
      <c r="AG18" s="17">
        <v>3.17246383288875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>
        <v>1.1000000000000001</v>
      </c>
      <c r="BA18" s="17">
        <v>1</v>
      </c>
      <c r="BB18" s="17" t="s">
        <v>171</v>
      </c>
      <c r="BC18" s="17" t="s">
        <v>61</v>
      </c>
      <c r="BD18" s="16"/>
      <c r="BE18" s="17" t="s">
        <v>62</v>
      </c>
      <c r="BF18" s="17" t="s">
        <v>172</v>
      </c>
      <c r="BG18" s="17" t="s">
        <v>173</v>
      </c>
      <c r="BH18" s="16"/>
    </row>
    <row r="19" spans="1:60" ht="56" x14ac:dyDescent="0.15">
      <c r="A19" s="15" t="s">
        <v>67</v>
      </c>
      <c r="B19" s="17">
        <v>17</v>
      </c>
      <c r="C19" s="17">
        <v>17</v>
      </c>
      <c r="D19" s="17">
        <v>0</v>
      </c>
      <c r="E19" s="17">
        <v>1.05395683453237</v>
      </c>
      <c r="F19" s="17">
        <v>2.63921570801176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16</v>
      </c>
      <c r="V19" s="16"/>
      <c r="W19" s="16"/>
      <c r="X19" s="16"/>
      <c r="Y19" s="16"/>
      <c r="Z19" s="17">
        <v>34.8876329578925</v>
      </c>
      <c r="AA19" s="16"/>
      <c r="AB19" s="17">
        <v>34.880998458014801</v>
      </c>
      <c r="AC19" s="17">
        <v>34.8876329578925</v>
      </c>
      <c r="AD19" s="17">
        <v>34.8876329578925</v>
      </c>
      <c r="AE19" s="17">
        <v>37.529056249884903</v>
      </c>
      <c r="AF19" s="17">
        <v>1.05395683453237</v>
      </c>
      <c r="AG19" s="17">
        <v>2.63921570801176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>
        <v>1.1000000000000001</v>
      </c>
      <c r="BA19" s="17">
        <v>1</v>
      </c>
      <c r="BB19" s="17" t="s">
        <v>171</v>
      </c>
      <c r="BC19" s="17" t="s">
        <v>61</v>
      </c>
      <c r="BD19" s="16"/>
      <c r="BE19" s="17" t="s">
        <v>62</v>
      </c>
      <c r="BF19" s="17" t="s">
        <v>172</v>
      </c>
      <c r="BG19" s="17" t="s">
        <v>173</v>
      </c>
      <c r="BH19" s="16"/>
    </row>
    <row r="20" spans="1:60" ht="56" x14ac:dyDescent="0.15">
      <c r="A20" s="15" t="s">
        <v>69</v>
      </c>
      <c r="B20" s="17">
        <v>18</v>
      </c>
      <c r="C20" s="17">
        <v>18</v>
      </c>
      <c r="D20" s="17">
        <v>0</v>
      </c>
      <c r="E20" s="17">
        <v>1.02517985611511</v>
      </c>
      <c r="F20" s="17">
        <v>3.90573816583492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8</v>
      </c>
      <c r="V20" s="16"/>
      <c r="W20" s="16"/>
      <c r="X20" s="16"/>
      <c r="Y20" s="16"/>
      <c r="Z20" s="17">
        <v>37.537575832800897</v>
      </c>
      <c r="AA20" s="16"/>
      <c r="AB20" s="17">
        <v>37.5309260829818</v>
      </c>
      <c r="AC20" s="17">
        <v>37.537575832800897</v>
      </c>
      <c r="AD20" s="17">
        <v>37.537575832800897</v>
      </c>
      <c r="AE20" s="17">
        <v>41.445843499852302</v>
      </c>
      <c r="AF20" s="17">
        <v>1.02517985611511</v>
      </c>
      <c r="AG20" s="17">
        <v>3.90573816583492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>
        <v>1.1000000000000001</v>
      </c>
      <c r="BA20" s="17">
        <v>1</v>
      </c>
      <c r="BB20" s="17" t="s">
        <v>171</v>
      </c>
      <c r="BC20" s="17" t="s">
        <v>61</v>
      </c>
      <c r="BD20" s="16"/>
      <c r="BE20" s="17" t="s">
        <v>62</v>
      </c>
      <c r="BF20" s="17" t="s">
        <v>172</v>
      </c>
      <c r="BG20" s="17" t="s">
        <v>173</v>
      </c>
      <c r="BH20" s="16"/>
    </row>
    <row r="21" spans="1:60" ht="56" x14ac:dyDescent="0.15">
      <c r="A21" s="15" t="s">
        <v>82</v>
      </c>
      <c r="B21" s="17">
        <v>19</v>
      </c>
      <c r="C21" s="17">
        <v>19</v>
      </c>
      <c r="D21" s="17">
        <v>0</v>
      </c>
      <c r="E21" s="17">
        <v>1.02517985611511</v>
      </c>
      <c r="F21" s="17">
        <v>1.6053617079742299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9</v>
      </c>
      <c r="V21" s="16"/>
      <c r="W21" s="16"/>
      <c r="X21" s="16"/>
      <c r="Y21" s="16"/>
      <c r="Z21" s="17">
        <v>41.454400332877398</v>
      </c>
      <c r="AA21" s="16"/>
      <c r="AB21" s="17">
        <v>41.447809332981699</v>
      </c>
      <c r="AC21" s="17">
        <v>41.454400332877398</v>
      </c>
      <c r="AD21" s="17">
        <v>41.454400332877398</v>
      </c>
      <c r="AE21" s="17">
        <v>43.062352041015401</v>
      </c>
      <c r="AF21" s="17">
        <v>1.02517985611511</v>
      </c>
      <c r="AG21" s="17">
        <v>1.6053617079742299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>
        <v>1.1000000000000001</v>
      </c>
      <c r="BA21" s="17">
        <v>1</v>
      </c>
      <c r="BB21" s="17" t="s">
        <v>171</v>
      </c>
      <c r="BC21" s="17" t="s">
        <v>61</v>
      </c>
      <c r="BD21" s="16"/>
      <c r="BE21" s="17" t="s">
        <v>62</v>
      </c>
      <c r="BF21" s="17" t="s">
        <v>172</v>
      </c>
      <c r="BG21" s="17" t="s">
        <v>173</v>
      </c>
      <c r="BH21" s="16"/>
    </row>
    <row r="22" spans="1:60" ht="56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22" t="s">
        <v>133</v>
      </c>
      <c r="H22" s="22" t="s">
        <v>64</v>
      </c>
      <c r="I22" s="22" t="s">
        <v>84</v>
      </c>
      <c r="J22" s="22" t="s">
        <v>134</v>
      </c>
      <c r="K22" s="17" t="s">
        <v>93</v>
      </c>
      <c r="L22" s="17" t="s">
        <v>93</v>
      </c>
      <c r="M22" s="17" t="s">
        <v>93</v>
      </c>
      <c r="N22" s="17" t="s">
        <v>93</v>
      </c>
      <c r="O22" s="17" t="s">
        <v>93</v>
      </c>
      <c r="P22" s="17" t="s">
        <v>93</v>
      </c>
      <c r="Q22" s="17" t="s">
        <v>93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18</v>
      </c>
      <c r="Z22" s="17">
        <v>43.080168416025103</v>
      </c>
      <c r="AA22" s="16"/>
      <c r="AB22" s="16"/>
      <c r="AC22" s="16"/>
      <c r="AD22" s="16"/>
      <c r="AE22" s="16"/>
      <c r="AF22" s="16"/>
      <c r="AG22" s="16"/>
      <c r="AH22" s="17">
        <v>43.071732499869498</v>
      </c>
      <c r="AI22" s="17">
        <v>43.080168416025103</v>
      </c>
      <c r="AJ22" s="17">
        <v>43.080168416025103</v>
      </c>
      <c r="AK22" s="17">
        <v>43.080168416025103</v>
      </c>
      <c r="AL22" s="17">
        <v>9.3832090497016907E-3</v>
      </c>
      <c r="AM22" s="17">
        <v>53.069141624961098</v>
      </c>
      <c r="AN22" s="17" t="s">
        <v>134</v>
      </c>
      <c r="AO22" s="17" t="s">
        <v>93</v>
      </c>
      <c r="AP22" s="17" t="s">
        <v>93</v>
      </c>
      <c r="AQ22" s="17" t="s">
        <v>93</v>
      </c>
      <c r="AR22" s="17" t="s">
        <v>93</v>
      </c>
      <c r="AS22" s="17" t="s">
        <v>93</v>
      </c>
      <c r="AT22" s="17" t="s">
        <v>93</v>
      </c>
      <c r="AU22" s="17" t="s">
        <v>93</v>
      </c>
      <c r="AV22" s="16"/>
      <c r="AW22" s="16"/>
      <c r="AX22" s="16"/>
      <c r="AY22" s="16"/>
      <c r="AZ22" s="17">
        <v>1.1000000000000001</v>
      </c>
      <c r="BA22" s="17">
        <v>1</v>
      </c>
      <c r="BB22" s="17" t="s">
        <v>171</v>
      </c>
      <c r="BC22" s="17" t="s">
        <v>61</v>
      </c>
      <c r="BD22" s="16"/>
      <c r="BE22" s="17" t="s">
        <v>62</v>
      </c>
      <c r="BF22" s="17" t="s">
        <v>172</v>
      </c>
      <c r="BG22" s="17" t="s">
        <v>173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17" t="s">
        <v>142</v>
      </c>
      <c r="H23" s="17" t="s">
        <v>67</v>
      </c>
      <c r="I23" s="17" t="s">
        <v>84</v>
      </c>
      <c r="J23" s="17" t="s">
        <v>67</v>
      </c>
      <c r="K23" s="17" t="s">
        <v>101</v>
      </c>
      <c r="L23" s="17" t="s">
        <v>174</v>
      </c>
      <c r="M23" s="17" t="s">
        <v>87</v>
      </c>
      <c r="N23" s="17" t="s">
        <v>88</v>
      </c>
      <c r="O23" s="17" t="s">
        <v>88</v>
      </c>
      <c r="P23" s="17" t="s">
        <v>175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16</v>
      </c>
      <c r="Z23" s="17">
        <v>53.081852624891297</v>
      </c>
      <c r="AA23" s="16"/>
      <c r="AB23" s="16"/>
      <c r="AC23" s="16"/>
      <c r="AD23" s="16"/>
      <c r="AE23" s="16"/>
      <c r="AF23" s="16"/>
      <c r="AG23" s="16"/>
      <c r="AH23" s="17">
        <v>53.072272415971398</v>
      </c>
      <c r="AI23" s="17">
        <v>53.081852624891297</v>
      </c>
      <c r="AJ23" s="17">
        <v>53.081852624891297</v>
      </c>
      <c r="AK23" s="17">
        <v>53.081852624891297</v>
      </c>
      <c r="AL23" s="17">
        <v>9.9284590687602793E-3</v>
      </c>
      <c r="AM23" s="17">
        <v>58.989574957871802</v>
      </c>
      <c r="AN23" s="17" t="s">
        <v>67</v>
      </c>
      <c r="AO23" s="17" t="s">
        <v>101</v>
      </c>
      <c r="AP23" s="17" t="s">
        <v>174</v>
      </c>
      <c r="AQ23" s="17" t="s">
        <v>87</v>
      </c>
      <c r="AR23" s="17" t="s">
        <v>88</v>
      </c>
      <c r="AS23" s="17" t="s">
        <v>88</v>
      </c>
      <c r="AT23" s="17" t="s">
        <v>175</v>
      </c>
      <c r="AU23" s="17" t="s">
        <v>90</v>
      </c>
      <c r="AV23" s="16"/>
      <c r="AW23" s="16"/>
      <c r="AX23" s="16"/>
      <c r="AY23" s="16"/>
      <c r="AZ23" s="17">
        <v>1.1000000000000001</v>
      </c>
      <c r="BA23" s="17">
        <v>1</v>
      </c>
      <c r="BB23" s="17" t="s">
        <v>171</v>
      </c>
      <c r="BC23" s="17" t="s">
        <v>61</v>
      </c>
      <c r="BD23" s="16"/>
      <c r="BE23" s="17" t="s">
        <v>62</v>
      </c>
      <c r="BF23" s="17" t="s">
        <v>172</v>
      </c>
      <c r="BG23" s="17" t="s">
        <v>173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136</v>
      </c>
      <c r="H24" s="22" t="s">
        <v>69</v>
      </c>
      <c r="I24" s="22" t="s">
        <v>84</v>
      </c>
      <c r="J24" s="23"/>
      <c r="K24" s="17" t="s">
        <v>101</v>
      </c>
      <c r="L24" s="17" t="s">
        <v>174</v>
      </c>
      <c r="M24" s="17" t="s">
        <v>87</v>
      </c>
      <c r="N24" s="17" t="s">
        <v>88</v>
      </c>
      <c r="O24" s="17" t="s">
        <v>88</v>
      </c>
      <c r="P24" s="17" t="s">
        <v>176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8</v>
      </c>
      <c r="Z24" s="17">
        <v>59.000882999971502</v>
      </c>
      <c r="AA24" s="16"/>
      <c r="AB24" s="16"/>
      <c r="AC24" s="16"/>
      <c r="AD24" s="16"/>
      <c r="AE24" s="16"/>
      <c r="AF24" s="16"/>
      <c r="AG24" s="16"/>
      <c r="AH24" s="17">
        <v>58.992108708014698</v>
      </c>
      <c r="AI24" s="17">
        <v>59.000882999971502</v>
      </c>
      <c r="AJ24" s="17">
        <v>59.000882999971502</v>
      </c>
      <c r="AK24" s="17">
        <v>59.000882999971502</v>
      </c>
      <c r="AL24" s="17">
        <v>2.3797089233994501E-3</v>
      </c>
      <c r="AM24" s="17">
        <v>65.970833332976298</v>
      </c>
      <c r="AN24" s="16"/>
      <c r="AO24" s="17" t="s">
        <v>101</v>
      </c>
      <c r="AP24" s="17" t="s">
        <v>174</v>
      </c>
      <c r="AQ24" s="17" t="s">
        <v>87</v>
      </c>
      <c r="AR24" s="17" t="s">
        <v>88</v>
      </c>
      <c r="AS24" s="17" t="s">
        <v>88</v>
      </c>
      <c r="AT24" s="17" t="s">
        <v>176</v>
      </c>
      <c r="AU24" s="17" t="s">
        <v>90</v>
      </c>
      <c r="AV24" s="16"/>
      <c r="AW24" s="16"/>
      <c r="AX24" s="16"/>
      <c r="AY24" s="16"/>
      <c r="AZ24" s="17">
        <v>1.1000000000000001</v>
      </c>
      <c r="BA24" s="17">
        <v>1</v>
      </c>
      <c r="BB24" s="17" t="s">
        <v>171</v>
      </c>
      <c r="BC24" s="17" t="s">
        <v>61</v>
      </c>
      <c r="BD24" s="16"/>
      <c r="BE24" s="17" t="s">
        <v>62</v>
      </c>
      <c r="BF24" s="17" t="s">
        <v>172</v>
      </c>
      <c r="BG24" s="17" t="s">
        <v>173</v>
      </c>
      <c r="BH24" s="16"/>
    </row>
    <row r="25" spans="1:60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22" t="s">
        <v>148</v>
      </c>
      <c r="H25" s="22" t="s">
        <v>74</v>
      </c>
      <c r="I25" s="22" t="s">
        <v>84</v>
      </c>
      <c r="J25" s="23"/>
      <c r="K25" s="17" t="s">
        <v>101</v>
      </c>
      <c r="L25" s="17" t="s">
        <v>174</v>
      </c>
      <c r="M25" s="17" t="s">
        <v>87</v>
      </c>
      <c r="N25" s="17" t="s">
        <v>88</v>
      </c>
      <c r="O25" s="17" t="s">
        <v>88</v>
      </c>
      <c r="P25" s="17" t="s">
        <v>177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13</v>
      </c>
      <c r="Z25" s="17">
        <v>65.9804046659265</v>
      </c>
      <c r="AA25" s="16"/>
      <c r="AB25" s="16"/>
      <c r="AC25" s="16"/>
      <c r="AD25" s="16"/>
      <c r="AE25" s="16"/>
      <c r="AF25" s="16"/>
      <c r="AG25" s="16"/>
      <c r="AH25" s="17">
        <v>65.972664874978406</v>
      </c>
      <c r="AI25" s="17">
        <v>65.9804046659265</v>
      </c>
      <c r="AJ25" s="17">
        <v>65.9804046659265</v>
      </c>
      <c r="AK25" s="17">
        <v>65.9804046659265</v>
      </c>
      <c r="AL25" s="17">
        <v>1.74445798620582E-3</v>
      </c>
      <c r="AM25" s="17">
        <v>71.769884499954102</v>
      </c>
      <c r="AN25" s="16"/>
      <c r="AO25" s="17" t="s">
        <v>101</v>
      </c>
      <c r="AP25" s="17" t="s">
        <v>174</v>
      </c>
      <c r="AQ25" s="17" t="s">
        <v>87</v>
      </c>
      <c r="AR25" s="17" t="s">
        <v>88</v>
      </c>
      <c r="AS25" s="17" t="s">
        <v>88</v>
      </c>
      <c r="AT25" s="17" t="s">
        <v>177</v>
      </c>
      <c r="AU25" s="17" t="s">
        <v>90</v>
      </c>
      <c r="AV25" s="16"/>
      <c r="AW25" s="16"/>
      <c r="AX25" s="16"/>
      <c r="AY25" s="16"/>
      <c r="AZ25" s="17">
        <v>1.1000000000000001</v>
      </c>
      <c r="BA25" s="17">
        <v>1</v>
      </c>
      <c r="BB25" s="17" t="s">
        <v>171</v>
      </c>
      <c r="BC25" s="17" t="s">
        <v>61</v>
      </c>
      <c r="BD25" s="16"/>
      <c r="BE25" s="17" t="s">
        <v>62</v>
      </c>
      <c r="BF25" s="17" t="s">
        <v>172</v>
      </c>
      <c r="BG25" s="17" t="s">
        <v>173</v>
      </c>
      <c r="BH25" s="16"/>
    </row>
    <row r="26" spans="1:60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100</v>
      </c>
      <c r="H26" s="17" t="s">
        <v>68</v>
      </c>
      <c r="I26" s="17" t="s">
        <v>84</v>
      </c>
      <c r="J26" s="17" t="s">
        <v>68</v>
      </c>
      <c r="K26" s="17" t="s">
        <v>101</v>
      </c>
      <c r="L26" s="17" t="s">
        <v>174</v>
      </c>
      <c r="M26" s="17" t="s">
        <v>87</v>
      </c>
      <c r="N26" s="17" t="s">
        <v>88</v>
      </c>
      <c r="O26" s="17" t="s">
        <v>88</v>
      </c>
      <c r="P26" s="17" t="s">
        <v>178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17</v>
      </c>
      <c r="Z26" s="17">
        <v>71.794909124961094</v>
      </c>
      <c r="AA26" s="16"/>
      <c r="AB26" s="16"/>
      <c r="AC26" s="16"/>
      <c r="AD26" s="16"/>
      <c r="AE26" s="16"/>
      <c r="AF26" s="16"/>
      <c r="AG26" s="16"/>
      <c r="AH26" s="17">
        <v>71.771751082967995</v>
      </c>
      <c r="AI26" s="17">
        <v>71.794909124961094</v>
      </c>
      <c r="AJ26" s="17">
        <v>71.794909124961094</v>
      </c>
      <c r="AK26" s="17">
        <v>71.794909124961094</v>
      </c>
      <c r="AL26" s="17">
        <v>1.7688330262899401E-3</v>
      </c>
      <c r="AM26" s="17">
        <v>81.4712212500162</v>
      </c>
      <c r="AN26" s="17" t="s">
        <v>68</v>
      </c>
      <c r="AO26" s="17" t="s">
        <v>101</v>
      </c>
      <c r="AP26" s="17" t="s">
        <v>174</v>
      </c>
      <c r="AQ26" s="17" t="s">
        <v>87</v>
      </c>
      <c r="AR26" s="17" t="s">
        <v>88</v>
      </c>
      <c r="AS26" s="17" t="s">
        <v>88</v>
      </c>
      <c r="AT26" s="17" t="s">
        <v>178</v>
      </c>
      <c r="AU26" s="17" t="s">
        <v>90</v>
      </c>
      <c r="AV26" s="16"/>
      <c r="AW26" s="16"/>
      <c r="AX26" s="16"/>
      <c r="AY26" s="16"/>
      <c r="AZ26" s="17">
        <v>1.1000000000000001</v>
      </c>
      <c r="BA26" s="17">
        <v>1</v>
      </c>
      <c r="BB26" s="17" t="s">
        <v>171</v>
      </c>
      <c r="BC26" s="17" t="s">
        <v>61</v>
      </c>
      <c r="BD26" s="16"/>
      <c r="BE26" s="17" t="s">
        <v>62</v>
      </c>
      <c r="BF26" s="17" t="s">
        <v>172</v>
      </c>
      <c r="BG26" s="17" t="s">
        <v>173</v>
      </c>
      <c r="BH26" s="16"/>
    </row>
    <row r="27" spans="1:60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164</v>
      </c>
      <c r="H27" s="17" t="s">
        <v>80</v>
      </c>
      <c r="I27" s="17" t="s">
        <v>84</v>
      </c>
      <c r="J27" s="17" t="s">
        <v>80</v>
      </c>
      <c r="K27" s="17" t="s">
        <v>101</v>
      </c>
      <c r="L27" s="17" t="s">
        <v>174</v>
      </c>
      <c r="M27" s="17" t="s">
        <v>87</v>
      </c>
      <c r="N27" s="17" t="s">
        <v>88</v>
      </c>
      <c r="O27" s="17" t="s">
        <v>88</v>
      </c>
      <c r="P27" s="17" t="s">
        <v>179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15</v>
      </c>
      <c r="Z27" s="17">
        <v>81.482306124875294</v>
      </c>
      <c r="AA27" s="16"/>
      <c r="AB27" s="16"/>
      <c r="AC27" s="16"/>
      <c r="AD27" s="16"/>
      <c r="AE27" s="16"/>
      <c r="AF27" s="16"/>
      <c r="AG27" s="16"/>
      <c r="AH27" s="17">
        <v>81.473356082802596</v>
      </c>
      <c r="AI27" s="17">
        <v>81.482306124875294</v>
      </c>
      <c r="AJ27" s="17">
        <v>81.482306124875294</v>
      </c>
      <c r="AK27" s="17">
        <v>81.482306124875294</v>
      </c>
      <c r="AL27" s="17">
        <v>2.0325828809291098E-3</v>
      </c>
      <c r="AM27" s="17">
        <v>85.787956082960605</v>
      </c>
      <c r="AN27" s="17" t="s">
        <v>80</v>
      </c>
      <c r="AO27" s="17" t="s">
        <v>101</v>
      </c>
      <c r="AP27" s="17" t="s">
        <v>174</v>
      </c>
      <c r="AQ27" s="17" t="s">
        <v>87</v>
      </c>
      <c r="AR27" s="17" t="s">
        <v>88</v>
      </c>
      <c r="AS27" s="17" t="s">
        <v>88</v>
      </c>
      <c r="AT27" s="17" t="s">
        <v>179</v>
      </c>
      <c r="AU27" s="17" t="s">
        <v>90</v>
      </c>
      <c r="AV27" s="16"/>
      <c r="AW27" s="16"/>
      <c r="AX27" s="16"/>
      <c r="AY27" s="16"/>
      <c r="AZ27" s="17">
        <v>1.1000000000000001</v>
      </c>
      <c r="BA27" s="17">
        <v>1</v>
      </c>
      <c r="BB27" s="17" t="s">
        <v>171</v>
      </c>
      <c r="BC27" s="17" t="s">
        <v>61</v>
      </c>
      <c r="BD27" s="16"/>
      <c r="BE27" s="17" t="s">
        <v>62</v>
      </c>
      <c r="BF27" s="17" t="s">
        <v>172</v>
      </c>
      <c r="BG27" s="17" t="s">
        <v>173</v>
      </c>
      <c r="BH27" s="16"/>
    </row>
    <row r="28" spans="1:60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22" t="s">
        <v>118</v>
      </c>
      <c r="H28" s="22" t="s">
        <v>75</v>
      </c>
      <c r="I28" s="22" t="s">
        <v>84</v>
      </c>
      <c r="J28" s="23"/>
      <c r="K28" s="17" t="s">
        <v>101</v>
      </c>
      <c r="L28" s="17" t="s">
        <v>174</v>
      </c>
      <c r="M28" s="17" t="s">
        <v>87</v>
      </c>
      <c r="N28" s="17" t="s">
        <v>88</v>
      </c>
      <c r="O28" s="17" t="s">
        <v>88</v>
      </c>
      <c r="P28" s="17" t="s">
        <v>180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7</v>
      </c>
      <c r="Z28" s="17">
        <v>85.799021665938199</v>
      </c>
      <c r="AA28" s="16"/>
      <c r="AB28" s="16"/>
      <c r="AC28" s="16"/>
      <c r="AD28" s="16"/>
      <c r="AE28" s="16"/>
      <c r="AF28" s="16"/>
      <c r="AG28" s="16"/>
      <c r="AH28" s="17">
        <v>85.789962582988693</v>
      </c>
      <c r="AI28" s="17">
        <v>85.799021665938199</v>
      </c>
      <c r="AJ28" s="17">
        <v>85.799021665938199</v>
      </c>
      <c r="AK28" s="17">
        <v>85.799021665938199</v>
      </c>
      <c r="AL28" s="17">
        <v>1.9143330864608301E-3</v>
      </c>
      <c r="AM28" s="17">
        <v>90.020610874984399</v>
      </c>
      <c r="AN28" s="16"/>
      <c r="AO28" s="17" t="s">
        <v>101</v>
      </c>
      <c r="AP28" s="17" t="s">
        <v>174</v>
      </c>
      <c r="AQ28" s="17" t="s">
        <v>87</v>
      </c>
      <c r="AR28" s="17" t="s">
        <v>88</v>
      </c>
      <c r="AS28" s="17" t="s">
        <v>88</v>
      </c>
      <c r="AT28" s="17" t="s">
        <v>180</v>
      </c>
      <c r="AU28" s="17" t="s">
        <v>90</v>
      </c>
      <c r="AV28" s="16"/>
      <c r="AW28" s="16"/>
      <c r="AX28" s="16"/>
      <c r="AY28" s="16"/>
      <c r="AZ28" s="17">
        <v>1.1000000000000001</v>
      </c>
      <c r="BA28" s="17">
        <v>1</v>
      </c>
      <c r="BB28" s="17" t="s">
        <v>171</v>
      </c>
      <c r="BC28" s="17" t="s">
        <v>61</v>
      </c>
      <c r="BD28" s="16"/>
      <c r="BE28" s="17" t="s">
        <v>62</v>
      </c>
      <c r="BF28" s="17" t="s">
        <v>172</v>
      </c>
      <c r="BG28" s="17" t="s">
        <v>173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104</v>
      </c>
      <c r="H29" s="22" t="s">
        <v>70</v>
      </c>
      <c r="I29" s="22" t="s">
        <v>84</v>
      </c>
      <c r="J29" s="22" t="s">
        <v>181</v>
      </c>
      <c r="K29" s="17" t="s">
        <v>101</v>
      </c>
      <c r="L29" s="17" t="s">
        <v>174</v>
      </c>
      <c r="M29" s="17" t="s">
        <v>87</v>
      </c>
      <c r="N29" s="17" t="s">
        <v>88</v>
      </c>
      <c r="O29" s="17" t="s">
        <v>88</v>
      </c>
      <c r="P29" s="17" t="s">
        <v>182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2</v>
      </c>
      <c r="Z29" s="17">
        <v>90.030528540955899</v>
      </c>
      <c r="AA29" s="16"/>
      <c r="AB29" s="16"/>
      <c r="AC29" s="16"/>
      <c r="AD29" s="16"/>
      <c r="AE29" s="16"/>
      <c r="AF29" s="16"/>
      <c r="AG29" s="16"/>
      <c r="AH29" s="17">
        <v>90.022586375009297</v>
      </c>
      <c r="AI29" s="17">
        <v>90.030528540955899</v>
      </c>
      <c r="AJ29" s="17">
        <v>90.030528540955899</v>
      </c>
      <c r="AK29" s="17">
        <v>90.030528540955899</v>
      </c>
      <c r="AL29" s="17">
        <v>1.8903329037129901E-3</v>
      </c>
      <c r="AM29" s="17">
        <v>94.320808207848998</v>
      </c>
      <c r="AN29" s="17" t="s">
        <v>181</v>
      </c>
      <c r="AO29" s="17" t="s">
        <v>101</v>
      </c>
      <c r="AP29" s="17" t="s">
        <v>174</v>
      </c>
      <c r="AQ29" s="17" t="s">
        <v>87</v>
      </c>
      <c r="AR29" s="17" t="s">
        <v>88</v>
      </c>
      <c r="AS29" s="17" t="s">
        <v>88</v>
      </c>
      <c r="AT29" s="17" t="s">
        <v>182</v>
      </c>
      <c r="AU29" s="17" t="s">
        <v>90</v>
      </c>
      <c r="AV29" s="16"/>
      <c r="AW29" s="16"/>
      <c r="AX29" s="16"/>
      <c r="AY29" s="16"/>
      <c r="AZ29" s="17">
        <v>1.1000000000000001</v>
      </c>
      <c r="BA29" s="17">
        <v>1</v>
      </c>
      <c r="BB29" s="17" t="s">
        <v>171</v>
      </c>
      <c r="BC29" s="17" t="s">
        <v>61</v>
      </c>
      <c r="BD29" s="16"/>
      <c r="BE29" s="17" t="s">
        <v>62</v>
      </c>
      <c r="BF29" s="17" t="s">
        <v>172</v>
      </c>
      <c r="BG29" s="17" t="s">
        <v>173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17" t="s">
        <v>129</v>
      </c>
      <c r="H30" s="17" t="s">
        <v>72</v>
      </c>
      <c r="I30" s="17" t="s">
        <v>84</v>
      </c>
      <c r="J30" s="17" t="s">
        <v>72</v>
      </c>
      <c r="K30" s="17" t="s">
        <v>101</v>
      </c>
      <c r="L30" s="17" t="s">
        <v>174</v>
      </c>
      <c r="M30" s="17" t="s">
        <v>87</v>
      </c>
      <c r="N30" s="17" t="s">
        <v>88</v>
      </c>
      <c r="O30" s="17" t="s">
        <v>88</v>
      </c>
      <c r="P30" s="17" t="s">
        <v>183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0</v>
      </c>
      <c r="Z30" s="17">
        <v>94.332113665994299</v>
      </c>
      <c r="AA30" s="16"/>
      <c r="AB30" s="16"/>
      <c r="AC30" s="16"/>
      <c r="AD30" s="16"/>
      <c r="AE30" s="16"/>
      <c r="AF30" s="16"/>
      <c r="AG30" s="16"/>
      <c r="AH30" s="17">
        <v>94.3226987498347</v>
      </c>
      <c r="AI30" s="17">
        <v>94.332113665994299</v>
      </c>
      <c r="AJ30" s="17">
        <v>94.332113665994299</v>
      </c>
      <c r="AK30" s="17">
        <v>94.332113665994299</v>
      </c>
      <c r="AL30" s="17">
        <v>1.7993750516325201E-3</v>
      </c>
      <c r="AM30" s="17">
        <v>96.620741707971305</v>
      </c>
      <c r="AN30" s="17" t="s">
        <v>72</v>
      </c>
      <c r="AO30" s="17" t="s">
        <v>101</v>
      </c>
      <c r="AP30" s="17" t="s">
        <v>174</v>
      </c>
      <c r="AQ30" s="17" t="s">
        <v>87</v>
      </c>
      <c r="AR30" s="17" t="s">
        <v>88</v>
      </c>
      <c r="AS30" s="17" t="s">
        <v>88</v>
      </c>
      <c r="AT30" s="17" t="s">
        <v>183</v>
      </c>
      <c r="AU30" s="17" t="s">
        <v>90</v>
      </c>
      <c r="AV30" s="16"/>
      <c r="AW30" s="16"/>
      <c r="AX30" s="16"/>
      <c r="AY30" s="16"/>
      <c r="AZ30" s="17">
        <v>1.1000000000000001</v>
      </c>
      <c r="BA30" s="17">
        <v>1</v>
      </c>
      <c r="BB30" s="17" t="s">
        <v>171</v>
      </c>
      <c r="BC30" s="17" t="s">
        <v>61</v>
      </c>
      <c r="BD30" s="16"/>
      <c r="BE30" s="17" t="s">
        <v>62</v>
      </c>
      <c r="BF30" s="17" t="s">
        <v>172</v>
      </c>
      <c r="BG30" s="17" t="s">
        <v>173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22" t="s">
        <v>169</v>
      </c>
      <c r="H31" s="22" t="s">
        <v>77</v>
      </c>
      <c r="I31" s="22" t="s">
        <v>84</v>
      </c>
      <c r="J31" s="23"/>
      <c r="K31" s="17" t="s">
        <v>101</v>
      </c>
      <c r="L31" s="17" t="s">
        <v>174</v>
      </c>
      <c r="M31" s="17" t="s">
        <v>87</v>
      </c>
      <c r="N31" s="17" t="s">
        <v>88</v>
      </c>
      <c r="O31" s="17" t="s">
        <v>88</v>
      </c>
      <c r="P31" s="17" t="s">
        <v>184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10</v>
      </c>
      <c r="Z31" s="17">
        <v>96.632151582976803</v>
      </c>
      <c r="AA31" s="16"/>
      <c r="AB31" s="16"/>
      <c r="AC31" s="16"/>
      <c r="AD31" s="16"/>
      <c r="AE31" s="16"/>
      <c r="AF31" s="16"/>
      <c r="AG31" s="16"/>
      <c r="AH31" s="17">
        <v>96.623053165851204</v>
      </c>
      <c r="AI31" s="17">
        <v>96.632151582976803</v>
      </c>
      <c r="AJ31" s="17">
        <v>96.632151582976803</v>
      </c>
      <c r="AK31" s="17">
        <v>96.632151582976803</v>
      </c>
      <c r="AL31" s="17">
        <v>2.2206669673323601E-3</v>
      </c>
      <c r="AM31" s="17">
        <v>105.73664045799499</v>
      </c>
      <c r="AN31" s="16"/>
      <c r="AO31" s="17" t="s">
        <v>101</v>
      </c>
      <c r="AP31" s="17" t="s">
        <v>174</v>
      </c>
      <c r="AQ31" s="17" t="s">
        <v>87</v>
      </c>
      <c r="AR31" s="17" t="s">
        <v>88</v>
      </c>
      <c r="AS31" s="17" t="s">
        <v>88</v>
      </c>
      <c r="AT31" s="17" t="s">
        <v>184</v>
      </c>
      <c r="AU31" s="17" t="s">
        <v>90</v>
      </c>
      <c r="AV31" s="16"/>
      <c r="AW31" s="16"/>
      <c r="AX31" s="16"/>
      <c r="AY31" s="16"/>
      <c r="AZ31" s="17">
        <v>1.1000000000000001</v>
      </c>
      <c r="BA31" s="17">
        <v>1</v>
      </c>
      <c r="BB31" s="17" t="s">
        <v>171</v>
      </c>
      <c r="BC31" s="17" t="s">
        <v>61</v>
      </c>
      <c r="BD31" s="16"/>
      <c r="BE31" s="17" t="s">
        <v>62</v>
      </c>
      <c r="BF31" s="17" t="s">
        <v>172</v>
      </c>
      <c r="BG31" s="17" t="s">
        <v>173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114</v>
      </c>
      <c r="H32" s="17" t="s">
        <v>73</v>
      </c>
      <c r="I32" s="17" t="s">
        <v>84</v>
      </c>
      <c r="J32" s="17" t="s">
        <v>73</v>
      </c>
      <c r="K32" s="17" t="s">
        <v>101</v>
      </c>
      <c r="L32" s="17" t="s">
        <v>174</v>
      </c>
      <c r="M32" s="17" t="s">
        <v>87</v>
      </c>
      <c r="N32" s="17" t="s">
        <v>88</v>
      </c>
      <c r="O32" s="17" t="s">
        <v>88</v>
      </c>
      <c r="P32" s="17" t="s">
        <v>185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14</v>
      </c>
      <c r="Z32" s="17">
        <v>105.76140295784001</v>
      </c>
      <c r="AA32" s="16"/>
      <c r="AB32" s="16"/>
      <c r="AC32" s="16"/>
      <c r="AD32" s="16"/>
      <c r="AE32" s="16"/>
      <c r="AF32" s="16"/>
      <c r="AG32" s="16"/>
      <c r="AH32" s="17">
        <v>105.73838141583801</v>
      </c>
      <c r="AI32" s="17">
        <v>105.76140295784001</v>
      </c>
      <c r="AJ32" s="17">
        <v>105.76140295784001</v>
      </c>
      <c r="AK32" s="17">
        <v>105.76140295784001</v>
      </c>
      <c r="AL32" s="17">
        <v>1.6445419751107699E-3</v>
      </c>
      <c r="AM32" s="17">
        <v>112.171351708006</v>
      </c>
      <c r="AN32" s="17" t="s">
        <v>73</v>
      </c>
      <c r="AO32" s="17" t="s">
        <v>101</v>
      </c>
      <c r="AP32" s="17" t="s">
        <v>174</v>
      </c>
      <c r="AQ32" s="17" t="s">
        <v>87</v>
      </c>
      <c r="AR32" s="17" t="s">
        <v>88</v>
      </c>
      <c r="AS32" s="17" t="s">
        <v>88</v>
      </c>
      <c r="AT32" s="17" t="s">
        <v>185</v>
      </c>
      <c r="AU32" s="17" t="s">
        <v>90</v>
      </c>
      <c r="AV32" s="16"/>
      <c r="AW32" s="16"/>
      <c r="AX32" s="16"/>
      <c r="AY32" s="16"/>
      <c r="AZ32" s="17">
        <v>1.1000000000000001</v>
      </c>
      <c r="BA32" s="17">
        <v>1</v>
      </c>
      <c r="BB32" s="17" t="s">
        <v>171</v>
      </c>
      <c r="BC32" s="17" t="s">
        <v>61</v>
      </c>
      <c r="BD32" s="16"/>
      <c r="BE32" s="17" t="s">
        <v>62</v>
      </c>
      <c r="BF32" s="17" t="s">
        <v>172</v>
      </c>
      <c r="BG32" s="17" t="s">
        <v>173</v>
      </c>
      <c r="BH32" s="16"/>
    </row>
    <row r="33" spans="1:60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17" t="s">
        <v>83</v>
      </c>
      <c r="H33" s="17" t="s">
        <v>82</v>
      </c>
      <c r="I33" s="17" t="s">
        <v>84</v>
      </c>
      <c r="J33" s="17" t="s">
        <v>82</v>
      </c>
      <c r="K33" s="17" t="s">
        <v>101</v>
      </c>
      <c r="L33" s="17" t="s">
        <v>174</v>
      </c>
      <c r="M33" s="17" t="s">
        <v>87</v>
      </c>
      <c r="N33" s="17" t="s">
        <v>88</v>
      </c>
      <c r="O33" s="17" t="s">
        <v>88</v>
      </c>
      <c r="P33" s="17" t="s">
        <v>186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9</v>
      </c>
      <c r="Z33" s="17">
        <v>112.182485166006</v>
      </c>
      <c r="AA33" s="16"/>
      <c r="AB33" s="16"/>
      <c r="AC33" s="16"/>
      <c r="AD33" s="16"/>
      <c r="AE33" s="16"/>
      <c r="AF33" s="16"/>
      <c r="AG33" s="16"/>
      <c r="AH33" s="17">
        <v>112.17365004099</v>
      </c>
      <c r="AI33" s="17">
        <v>112.182485166006</v>
      </c>
      <c r="AJ33" s="17">
        <v>112.182485166006</v>
      </c>
      <c r="AK33" s="17">
        <v>112.182485166006</v>
      </c>
      <c r="AL33" s="17">
        <v>2.16854200698435E-3</v>
      </c>
      <c r="AM33" s="17">
        <v>118.22160049993499</v>
      </c>
      <c r="AN33" s="17" t="s">
        <v>82</v>
      </c>
      <c r="AO33" s="17" t="s">
        <v>101</v>
      </c>
      <c r="AP33" s="17" t="s">
        <v>174</v>
      </c>
      <c r="AQ33" s="17" t="s">
        <v>87</v>
      </c>
      <c r="AR33" s="17" t="s">
        <v>88</v>
      </c>
      <c r="AS33" s="17" t="s">
        <v>88</v>
      </c>
      <c r="AT33" s="17" t="s">
        <v>186</v>
      </c>
      <c r="AU33" s="17" t="s">
        <v>90</v>
      </c>
      <c r="AV33" s="16"/>
      <c r="AW33" s="16"/>
      <c r="AX33" s="16"/>
      <c r="AY33" s="16"/>
      <c r="AZ33" s="17">
        <v>1.1000000000000001</v>
      </c>
      <c r="BA33" s="17">
        <v>1</v>
      </c>
      <c r="BB33" s="17" t="s">
        <v>171</v>
      </c>
      <c r="BC33" s="17" t="s">
        <v>61</v>
      </c>
      <c r="BD33" s="16"/>
      <c r="BE33" s="17" t="s">
        <v>62</v>
      </c>
      <c r="BF33" s="17" t="s">
        <v>172</v>
      </c>
      <c r="BG33" s="17" t="s">
        <v>173</v>
      </c>
      <c r="BH33" s="16"/>
    </row>
    <row r="34" spans="1:60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157</v>
      </c>
      <c r="H34" s="17" t="s">
        <v>66</v>
      </c>
      <c r="I34" s="17" t="s">
        <v>84</v>
      </c>
      <c r="J34" s="17" t="s">
        <v>66</v>
      </c>
      <c r="K34" s="17" t="s">
        <v>101</v>
      </c>
      <c r="L34" s="17" t="s">
        <v>174</v>
      </c>
      <c r="M34" s="17" t="s">
        <v>87</v>
      </c>
      <c r="N34" s="17" t="s">
        <v>88</v>
      </c>
      <c r="O34" s="17" t="s">
        <v>88</v>
      </c>
      <c r="P34" s="17" t="s">
        <v>187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</v>
      </c>
      <c r="Z34" s="17">
        <v>118.232729749987</v>
      </c>
      <c r="AA34" s="16"/>
      <c r="AB34" s="16"/>
      <c r="AC34" s="16"/>
      <c r="AD34" s="16"/>
      <c r="AE34" s="16"/>
      <c r="AF34" s="16"/>
      <c r="AG34" s="16"/>
      <c r="AH34" s="17">
        <v>118.22391879092901</v>
      </c>
      <c r="AI34" s="17">
        <v>118.232729749987</v>
      </c>
      <c r="AJ34" s="17">
        <v>118.232729749987</v>
      </c>
      <c r="AK34" s="17">
        <v>118.232729749987</v>
      </c>
      <c r="AL34" s="17">
        <v>2.2132920566946298E-3</v>
      </c>
      <c r="AM34" s="17">
        <v>122.68788383295799</v>
      </c>
      <c r="AN34" s="17" t="s">
        <v>66</v>
      </c>
      <c r="AO34" s="17" t="s">
        <v>101</v>
      </c>
      <c r="AP34" s="17" t="s">
        <v>174</v>
      </c>
      <c r="AQ34" s="17" t="s">
        <v>87</v>
      </c>
      <c r="AR34" s="17" t="s">
        <v>88</v>
      </c>
      <c r="AS34" s="17" t="s">
        <v>88</v>
      </c>
      <c r="AT34" s="17" t="s">
        <v>187</v>
      </c>
      <c r="AU34" s="17" t="s">
        <v>90</v>
      </c>
      <c r="AV34" s="16"/>
      <c r="AW34" s="16"/>
      <c r="AX34" s="16"/>
      <c r="AY34" s="16"/>
      <c r="AZ34" s="17">
        <v>1.1000000000000001</v>
      </c>
      <c r="BA34" s="17">
        <v>1</v>
      </c>
      <c r="BB34" s="17" t="s">
        <v>171</v>
      </c>
      <c r="BC34" s="17" t="s">
        <v>61</v>
      </c>
      <c r="BD34" s="16"/>
      <c r="BE34" s="17" t="s">
        <v>62</v>
      </c>
      <c r="BF34" s="17" t="s">
        <v>172</v>
      </c>
      <c r="BG34" s="17" t="s">
        <v>173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160</v>
      </c>
      <c r="H35" s="22" t="s">
        <v>79</v>
      </c>
      <c r="I35" s="22" t="s">
        <v>84</v>
      </c>
      <c r="J35" s="23"/>
      <c r="K35" s="17" t="s">
        <v>101</v>
      </c>
      <c r="L35" s="17" t="s">
        <v>174</v>
      </c>
      <c r="M35" s="17" t="s">
        <v>87</v>
      </c>
      <c r="N35" s="17" t="s">
        <v>88</v>
      </c>
      <c r="O35" s="17" t="s">
        <v>88</v>
      </c>
      <c r="P35" s="17" t="s">
        <v>188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3</v>
      </c>
      <c r="Z35" s="17">
        <v>122.698771332856</v>
      </c>
      <c r="AA35" s="16"/>
      <c r="AB35" s="16"/>
      <c r="AC35" s="16"/>
      <c r="AD35" s="16"/>
      <c r="AE35" s="16"/>
      <c r="AF35" s="16"/>
      <c r="AG35" s="16"/>
      <c r="AH35" s="17">
        <v>122.689953665948</v>
      </c>
      <c r="AI35" s="17">
        <v>122.698771332856</v>
      </c>
      <c r="AJ35" s="17">
        <v>122.698771332856</v>
      </c>
      <c r="AK35" s="17">
        <v>122.698771332856</v>
      </c>
      <c r="AL35" s="17">
        <v>1.9765831530094099E-3</v>
      </c>
      <c r="AM35" s="17">
        <v>127.703394082841</v>
      </c>
      <c r="AN35" s="16"/>
      <c r="AO35" s="17" t="s">
        <v>101</v>
      </c>
      <c r="AP35" s="17" t="s">
        <v>174</v>
      </c>
      <c r="AQ35" s="17" t="s">
        <v>87</v>
      </c>
      <c r="AR35" s="17" t="s">
        <v>88</v>
      </c>
      <c r="AS35" s="17" t="s">
        <v>88</v>
      </c>
      <c r="AT35" s="17" t="s">
        <v>188</v>
      </c>
      <c r="AU35" s="17" t="s">
        <v>90</v>
      </c>
      <c r="AV35" s="16"/>
      <c r="AW35" s="16"/>
      <c r="AX35" s="16"/>
      <c r="AY35" s="16"/>
      <c r="AZ35" s="17">
        <v>1.1000000000000001</v>
      </c>
      <c r="BA35" s="17">
        <v>1</v>
      </c>
      <c r="BB35" s="17" t="s">
        <v>171</v>
      </c>
      <c r="BC35" s="17" t="s">
        <v>61</v>
      </c>
      <c r="BD35" s="16"/>
      <c r="BE35" s="17" t="s">
        <v>62</v>
      </c>
      <c r="BF35" s="17" t="s">
        <v>172</v>
      </c>
      <c r="BG35" s="17" t="s">
        <v>173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17" t="s">
        <v>123</v>
      </c>
      <c r="H36" s="17" t="s">
        <v>78</v>
      </c>
      <c r="I36" s="17" t="s">
        <v>84</v>
      </c>
      <c r="J36" s="17" t="s">
        <v>78</v>
      </c>
      <c r="K36" s="17" t="s">
        <v>101</v>
      </c>
      <c r="L36" s="17" t="s">
        <v>174</v>
      </c>
      <c r="M36" s="17" t="s">
        <v>87</v>
      </c>
      <c r="N36" s="17" t="s">
        <v>88</v>
      </c>
      <c r="O36" s="17" t="s">
        <v>88</v>
      </c>
      <c r="P36" s="17" t="s">
        <v>189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5</v>
      </c>
      <c r="Z36" s="17">
        <v>127.727983832825</v>
      </c>
      <c r="AA36" s="16"/>
      <c r="AB36" s="16"/>
      <c r="AC36" s="16"/>
      <c r="AD36" s="16"/>
      <c r="AE36" s="16"/>
      <c r="AF36" s="16"/>
      <c r="AG36" s="16"/>
      <c r="AH36" s="17">
        <v>127.7050241658</v>
      </c>
      <c r="AI36" s="17">
        <v>127.727983832825</v>
      </c>
      <c r="AJ36" s="17">
        <v>127.727983832825</v>
      </c>
      <c r="AK36" s="17">
        <v>127.727983832825</v>
      </c>
      <c r="AL36" s="17">
        <v>1.55179086141288E-3</v>
      </c>
      <c r="AM36" s="17">
        <v>131.004469458014</v>
      </c>
      <c r="AN36" s="17" t="s">
        <v>78</v>
      </c>
      <c r="AO36" s="17" t="s">
        <v>101</v>
      </c>
      <c r="AP36" s="17" t="s">
        <v>174</v>
      </c>
      <c r="AQ36" s="17" t="s">
        <v>87</v>
      </c>
      <c r="AR36" s="17" t="s">
        <v>88</v>
      </c>
      <c r="AS36" s="17" t="s">
        <v>88</v>
      </c>
      <c r="AT36" s="17" t="s">
        <v>189</v>
      </c>
      <c r="AU36" s="17" t="s">
        <v>90</v>
      </c>
      <c r="AV36" s="16"/>
      <c r="AW36" s="16"/>
      <c r="AX36" s="16"/>
      <c r="AY36" s="16"/>
      <c r="AZ36" s="17">
        <v>1.1000000000000001</v>
      </c>
      <c r="BA36" s="17">
        <v>1</v>
      </c>
      <c r="BB36" s="17" t="s">
        <v>171</v>
      </c>
      <c r="BC36" s="17" t="s">
        <v>61</v>
      </c>
      <c r="BD36" s="16"/>
      <c r="BE36" s="17" t="s">
        <v>62</v>
      </c>
      <c r="BF36" s="17" t="s">
        <v>172</v>
      </c>
      <c r="BG36" s="17" t="s">
        <v>173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17" t="s">
        <v>106</v>
      </c>
      <c r="H37" s="17" t="s">
        <v>107</v>
      </c>
      <c r="I37" s="17" t="s">
        <v>96</v>
      </c>
      <c r="J37" s="17" t="s">
        <v>107</v>
      </c>
      <c r="K37" s="17" t="s">
        <v>101</v>
      </c>
      <c r="L37" s="17" t="s">
        <v>174</v>
      </c>
      <c r="M37" s="17" t="s">
        <v>87</v>
      </c>
      <c r="N37" s="17" t="s">
        <v>88</v>
      </c>
      <c r="O37" s="17" t="s">
        <v>88</v>
      </c>
      <c r="P37" s="17" t="s">
        <v>190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23</v>
      </c>
      <c r="Z37" s="17">
        <v>131.01544441585401</v>
      </c>
      <c r="AA37" s="16"/>
      <c r="AB37" s="16"/>
      <c r="AC37" s="16"/>
      <c r="AD37" s="16"/>
      <c r="AE37" s="16"/>
      <c r="AF37" s="16"/>
      <c r="AG37" s="16"/>
      <c r="AH37" s="17">
        <v>131.00661779101901</v>
      </c>
      <c r="AI37" s="17">
        <v>131.01544441585401</v>
      </c>
      <c r="AJ37" s="17">
        <v>131.01544441585401</v>
      </c>
      <c r="AK37" s="17">
        <v>131.01544441585401</v>
      </c>
      <c r="AL37" s="17">
        <v>2.0590419881045801E-3</v>
      </c>
      <c r="AM37" s="17">
        <v>135.254251540871</v>
      </c>
      <c r="AN37" s="17" t="s">
        <v>107</v>
      </c>
      <c r="AO37" s="17" t="s">
        <v>101</v>
      </c>
      <c r="AP37" s="17" t="s">
        <v>174</v>
      </c>
      <c r="AQ37" s="17" t="s">
        <v>87</v>
      </c>
      <c r="AR37" s="17" t="s">
        <v>88</v>
      </c>
      <c r="AS37" s="17" t="s">
        <v>88</v>
      </c>
      <c r="AT37" s="17" t="s">
        <v>190</v>
      </c>
      <c r="AU37" s="17" t="s">
        <v>90</v>
      </c>
      <c r="AV37" s="16"/>
      <c r="AW37" s="16"/>
      <c r="AX37" s="16"/>
      <c r="AY37" s="16"/>
      <c r="AZ37" s="17">
        <v>1.1000000000000001</v>
      </c>
      <c r="BA37" s="17">
        <v>1</v>
      </c>
      <c r="BB37" s="17" t="s">
        <v>171</v>
      </c>
      <c r="BC37" s="17" t="s">
        <v>61</v>
      </c>
      <c r="BD37" s="16"/>
      <c r="BE37" s="17" t="s">
        <v>62</v>
      </c>
      <c r="BF37" s="17" t="s">
        <v>172</v>
      </c>
      <c r="BG37" s="17" t="s">
        <v>173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131</v>
      </c>
      <c r="H38" s="22" t="s">
        <v>76</v>
      </c>
      <c r="I38" s="22" t="s">
        <v>84</v>
      </c>
      <c r="J38" s="22" t="s">
        <v>191</v>
      </c>
      <c r="K38" s="17" t="s">
        <v>93</v>
      </c>
      <c r="L38" s="17" t="s">
        <v>93</v>
      </c>
      <c r="M38" s="17" t="s">
        <v>93</v>
      </c>
      <c r="N38" s="17" t="s">
        <v>93</v>
      </c>
      <c r="O38" s="17" t="s">
        <v>93</v>
      </c>
      <c r="P38" s="17" t="s">
        <v>93</v>
      </c>
      <c r="Q38" s="17" t="s">
        <v>93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6</v>
      </c>
      <c r="Z38" s="17">
        <v>135.26572108292001</v>
      </c>
      <c r="AA38" s="16"/>
      <c r="AB38" s="16"/>
      <c r="AC38" s="16"/>
      <c r="AD38" s="16"/>
      <c r="AE38" s="16"/>
      <c r="AF38" s="16"/>
      <c r="AG38" s="16"/>
      <c r="AH38" s="17">
        <v>135.256863249931</v>
      </c>
      <c r="AI38" s="17">
        <v>135.26572108292001</v>
      </c>
      <c r="AJ38" s="17">
        <v>135.26572108292001</v>
      </c>
      <c r="AK38" s="17">
        <v>135.26572108292001</v>
      </c>
      <c r="AL38" s="17">
        <v>2.5212499313056499E-3</v>
      </c>
      <c r="AM38" s="17">
        <v>145.252724583028</v>
      </c>
      <c r="AN38" s="17" t="s">
        <v>191</v>
      </c>
      <c r="AO38" s="17" t="s">
        <v>93</v>
      </c>
      <c r="AP38" s="17" t="s">
        <v>93</v>
      </c>
      <c r="AQ38" s="17" t="s">
        <v>93</v>
      </c>
      <c r="AR38" s="17" t="s">
        <v>93</v>
      </c>
      <c r="AS38" s="17" t="s">
        <v>93</v>
      </c>
      <c r="AT38" s="17" t="s">
        <v>93</v>
      </c>
      <c r="AU38" s="17" t="s">
        <v>93</v>
      </c>
      <c r="AV38" s="17">
        <v>145.264720249921</v>
      </c>
      <c r="AW38" s="17">
        <v>145.264720249921</v>
      </c>
      <c r="AX38" s="17">
        <v>145.264720249921</v>
      </c>
      <c r="AY38" s="17">
        <v>9.9981522909365594</v>
      </c>
      <c r="AZ38" s="17">
        <v>1.1000000000000001</v>
      </c>
      <c r="BA38" s="17">
        <v>1</v>
      </c>
      <c r="BB38" s="17" t="s">
        <v>171</v>
      </c>
      <c r="BC38" s="17" t="s">
        <v>61</v>
      </c>
      <c r="BD38" s="16"/>
      <c r="BE38" s="17" t="s">
        <v>62</v>
      </c>
      <c r="BF38" s="17" t="s">
        <v>172</v>
      </c>
      <c r="BG38" s="17" t="s">
        <v>173</v>
      </c>
      <c r="BH38" s="16"/>
    </row>
    <row r="39" spans="1:60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91</v>
      </c>
      <c r="H39" s="22" t="s">
        <v>71</v>
      </c>
      <c r="I39" s="22" t="s">
        <v>84</v>
      </c>
      <c r="J39" s="23"/>
      <c r="K39" s="17" t="s">
        <v>192</v>
      </c>
      <c r="L39" s="17" t="s">
        <v>102</v>
      </c>
      <c r="M39" s="17" t="s">
        <v>87</v>
      </c>
      <c r="N39" s="17" t="s">
        <v>88</v>
      </c>
      <c r="O39" s="17" t="s">
        <v>88</v>
      </c>
      <c r="P39" s="17" t="s">
        <v>193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19</v>
      </c>
      <c r="Z39" s="17">
        <v>145.264720249921</v>
      </c>
      <c r="AA39" s="16"/>
      <c r="AB39" s="16"/>
      <c r="AC39" s="16"/>
      <c r="AD39" s="16"/>
      <c r="AE39" s="16"/>
      <c r="AF39" s="16"/>
      <c r="AG39" s="16"/>
      <c r="AH39" s="17">
        <v>145.25553479092201</v>
      </c>
      <c r="AI39" s="17">
        <v>145.264720249921</v>
      </c>
      <c r="AJ39" s="17">
        <v>145.264720249921</v>
      </c>
      <c r="AK39" s="17">
        <v>145.264720249921</v>
      </c>
      <c r="AL39" s="17">
        <v>1.19625008665025E-3</v>
      </c>
      <c r="AM39" s="17">
        <v>151.53685375000401</v>
      </c>
      <c r="AN39" s="16"/>
      <c r="AO39" s="17" t="s">
        <v>192</v>
      </c>
      <c r="AP39" s="17" t="s">
        <v>102</v>
      </c>
      <c r="AQ39" s="17" t="s">
        <v>87</v>
      </c>
      <c r="AR39" s="17" t="s">
        <v>88</v>
      </c>
      <c r="AS39" s="17" t="s">
        <v>88</v>
      </c>
      <c r="AT39" s="17" t="s">
        <v>193</v>
      </c>
      <c r="AU39" s="17" t="s">
        <v>90</v>
      </c>
      <c r="AV39" s="16"/>
      <c r="AW39" s="16"/>
      <c r="AX39" s="16"/>
      <c r="AY39" s="16"/>
      <c r="AZ39" s="17">
        <v>1.1000000000000001</v>
      </c>
      <c r="BA39" s="17">
        <v>1</v>
      </c>
      <c r="BB39" s="17" t="s">
        <v>171</v>
      </c>
      <c r="BC39" s="17" t="s">
        <v>61</v>
      </c>
      <c r="BD39" s="16"/>
      <c r="BE39" s="17" t="s">
        <v>62</v>
      </c>
      <c r="BF39" s="17" t="s">
        <v>172</v>
      </c>
      <c r="BG39" s="17" t="s">
        <v>173</v>
      </c>
      <c r="BH39" s="16"/>
    </row>
    <row r="40" spans="1:60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22" t="s">
        <v>125</v>
      </c>
      <c r="H40" s="22" t="s">
        <v>65</v>
      </c>
      <c r="I40" s="22" t="s">
        <v>84</v>
      </c>
      <c r="J40" s="23"/>
      <c r="K40" s="17" t="s">
        <v>85</v>
      </c>
      <c r="L40" s="17" t="s">
        <v>162</v>
      </c>
      <c r="M40" s="17" t="s">
        <v>87</v>
      </c>
      <c r="N40" s="17" t="s">
        <v>88</v>
      </c>
      <c r="O40" s="17" t="s">
        <v>88</v>
      </c>
      <c r="P40" s="17" t="s">
        <v>194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11</v>
      </c>
      <c r="Z40" s="17">
        <v>151.546723249834</v>
      </c>
      <c r="AA40" s="16"/>
      <c r="AB40" s="16"/>
      <c r="AC40" s="16"/>
      <c r="AD40" s="16"/>
      <c r="AE40" s="16"/>
      <c r="AF40" s="16"/>
      <c r="AG40" s="16"/>
      <c r="AH40" s="17">
        <v>151.538530707825</v>
      </c>
      <c r="AI40" s="17">
        <v>151.546723249834</v>
      </c>
      <c r="AJ40" s="17">
        <v>151.546723249834</v>
      </c>
      <c r="AK40" s="17">
        <v>151.546723249834</v>
      </c>
      <c r="AL40" s="17">
        <v>1.6027500387281199E-3</v>
      </c>
      <c r="AM40" s="17">
        <v>155.08627983299101</v>
      </c>
      <c r="AN40" s="16"/>
      <c r="AO40" s="17" t="s">
        <v>85</v>
      </c>
      <c r="AP40" s="17" t="s">
        <v>162</v>
      </c>
      <c r="AQ40" s="17" t="s">
        <v>87</v>
      </c>
      <c r="AR40" s="17" t="s">
        <v>88</v>
      </c>
      <c r="AS40" s="17" t="s">
        <v>88</v>
      </c>
      <c r="AT40" s="17" t="s">
        <v>194</v>
      </c>
      <c r="AU40" s="17" t="s">
        <v>90</v>
      </c>
      <c r="AV40" s="16"/>
      <c r="AW40" s="16"/>
      <c r="AX40" s="16"/>
      <c r="AY40" s="16"/>
      <c r="AZ40" s="17">
        <v>1.1000000000000001</v>
      </c>
      <c r="BA40" s="17">
        <v>1</v>
      </c>
      <c r="BB40" s="17" t="s">
        <v>171</v>
      </c>
      <c r="BC40" s="17" t="s">
        <v>61</v>
      </c>
      <c r="BD40" s="16"/>
      <c r="BE40" s="17" t="s">
        <v>62</v>
      </c>
      <c r="BF40" s="17" t="s">
        <v>172</v>
      </c>
      <c r="BG40" s="17" t="s">
        <v>173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94</v>
      </c>
      <c r="H41" s="22" t="s">
        <v>95</v>
      </c>
      <c r="I41" s="22" t="s">
        <v>96</v>
      </c>
      <c r="J41" s="23"/>
      <c r="K41" s="17" t="s">
        <v>85</v>
      </c>
      <c r="L41" s="17" t="s">
        <v>162</v>
      </c>
      <c r="M41" s="17" t="s">
        <v>87</v>
      </c>
      <c r="N41" s="17" t="s">
        <v>88</v>
      </c>
      <c r="O41" s="17" t="s">
        <v>88</v>
      </c>
      <c r="P41" s="17" t="s">
        <v>195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22</v>
      </c>
      <c r="Z41" s="17">
        <v>155.095312665915</v>
      </c>
      <c r="AA41" s="16"/>
      <c r="AB41" s="16"/>
      <c r="AC41" s="16"/>
      <c r="AD41" s="16"/>
      <c r="AE41" s="16"/>
      <c r="AF41" s="16"/>
      <c r="AG41" s="16"/>
      <c r="AH41" s="17">
        <v>155.087908999994</v>
      </c>
      <c r="AI41" s="17">
        <v>155.095312665915</v>
      </c>
      <c r="AJ41" s="17">
        <v>155.095312665915</v>
      </c>
      <c r="AK41" s="17">
        <v>155.095312665915</v>
      </c>
      <c r="AL41" s="17">
        <v>1.55566586181521E-3</v>
      </c>
      <c r="AM41" s="17">
        <v>159.603293749969</v>
      </c>
      <c r="AN41" s="16"/>
      <c r="AO41" s="17" t="s">
        <v>85</v>
      </c>
      <c r="AP41" s="17" t="s">
        <v>162</v>
      </c>
      <c r="AQ41" s="17" t="s">
        <v>87</v>
      </c>
      <c r="AR41" s="17" t="s">
        <v>88</v>
      </c>
      <c r="AS41" s="17" t="s">
        <v>88</v>
      </c>
      <c r="AT41" s="17" t="s">
        <v>195</v>
      </c>
      <c r="AU41" s="17" t="s">
        <v>90</v>
      </c>
      <c r="AV41" s="16"/>
      <c r="AW41" s="16"/>
      <c r="AX41" s="16"/>
      <c r="AY41" s="16"/>
      <c r="AZ41" s="17">
        <v>1.1000000000000001</v>
      </c>
      <c r="BA41" s="17">
        <v>1</v>
      </c>
      <c r="BB41" s="17" t="s">
        <v>171</v>
      </c>
      <c r="BC41" s="17" t="s">
        <v>61</v>
      </c>
      <c r="BD41" s="16"/>
      <c r="BE41" s="17" t="s">
        <v>62</v>
      </c>
      <c r="BF41" s="17" t="s">
        <v>172</v>
      </c>
      <c r="BG41" s="17" t="s">
        <v>173</v>
      </c>
      <c r="BH41" s="16"/>
    </row>
    <row r="42" spans="1:60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144</v>
      </c>
      <c r="H42" s="22" t="s">
        <v>81</v>
      </c>
      <c r="I42" s="22" t="s">
        <v>84</v>
      </c>
      <c r="J42" s="22" t="s">
        <v>196</v>
      </c>
      <c r="K42" s="17" t="s">
        <v>85</v>
      </c>
      <c r="L42" s="17" t="s">
        <v>162</v>
      </c>
      <c r="M42" s="17" t="s">
        <v>87</v>
      </c>
      <c r="N42" s="17" t="s">
        <v>88</v>
      </c>
      <c r="O42" s="17" t="s">
        <v>88</v>
      </c>
      <c r="P42" s="17" t="s">
        <v>197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4</v>
      </c>
      <c r="Z42" s="17">
        <v>159.627829290926</v>
      </c>
      <c r="AA42" s="16"/>
      <c r="AB42" s="16"/>
      <c r="AC42" s="16"/>
      <c r="AD42" s="16"/>
      <c r="AE42" s="16"/>
      <c r="AF42" s="16"/>
      <c r="AG42" s="16"/>
      <c r="AH42" s="17">
        <v>159.60477779083899</v>
      </c>
      <c r="AI42" s="17">
        <v>159.627829290926</v>
      </c>
      <c r="AJ42" s="17">
        <v>159.627829290926</v>
      </c>
      <c r="AK42" s="17">
        <v>159.627829290926</v>
      </c>
      <c r="AL42" s="17">
        <v>1.3931249268353001E-3</v>
      </c>
      <c r="AM42" s="17">
        <v>165.45447929087101</v>
      </c>
      <c r="AN42" s="17" t="s">
        <v>196</v>
      </c>
      <c r="AO42" s="17" t="s">
        <v>85</v>
      </c>
      <c r="AP42" s="17" t="s">
        <v>162</v>
      </c>
      <c r="AQ42" s="17" t="s">
        <v>87</v>
      </c>
      <c r="AR42" s="17" t="s">
        <v>88</v>
      </c>
      <c r="AS42" s="17" t="s">
        <v>88</v>
      </c>
      <c r="AT42" s="17" t="s">
        <v>197</v>
      </c>
      <c r="AU42" s="17" t="s">
        <v>90</v>
      </c>
      <c r="AV42" s="16"/>
      <c r="AW42" s="16"/>
      <c r="AX42" s="16"/>
      <c r="AY42" s="16"/>
      <c r="AZ42" s="17">
        <v>1.1000000000000001</v>
      </c>
      <c r="BA42" s="17">
        <v>1</v>
      </c>
      <c r="BB42" s="17" t="s">
        <v>171</v>
      </c>
      <c r="BC42" s="17" t="s">
        <v>61</v>
      </c>
      <c r="BD42" s="16"/>
      <c r="BE42" s="17" t="s">
        <v>62</v>
      </c>
      <c r="BF42" s="17" t="s">
        <v>172</v>
      </c>
      <c r="BG42" s="17" t="s">
        <v>173</v>
      </c>
      <c r="BH42" s="16"/>
    </row>
    <row r="43" spans="1:60" ht="84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152</v>
      </c>
      <c r="H43" s="17" t="s">
        <v>153</v>
      </c>
      <c r="I43" s="17" t="s">
        <v>96</v>
      </c>
      <c r="J43" s="17" t="s">
        <v>153</v>
      </c>
      <c r="K43" s="17" t="s">
        <v>198</v>
      </c>
      <c r="L43" s="17" t="s">
        <v>199</v>
      </c>
      <c r="M43" s="17" t="s">
        <v>110</v>
      </c>
      <c r="N43" s="17" t="s">
        <v>111</v>
      </c>
      <c r="O43" s="17" t="s">
        <v>111</v>
      </c>
      <c r="P43" s="17" t="s">
        <v>200</v>
      </c>
      <c r="Q43" s="17" t="s">
        <v>113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20</v>
      </c>
      <c r="Z43" s="17">
        <v>165.46533624990801</v>
      </c>
      <c r="AA43" s="16"/>
      <c r="AB43" s="16"/>
      <c r="AC43" s="16"/>
      <c r="AD43" s="16"/>
      <c r="AE43" s="16"/>
      <c r="AF43" s="16"/>
      <c r="AG43" s="16"/>
      <c r="AH43" s="17">
        <v>165.456657457864</v>
      </c>
      <c r="AI43" s="17">
        <v>165.46533624990801</v>
      </c>
      <c r="AJ43" s="17">
        <v>165.46533624990801</v>
      </c>
      <c r="AK43" s="17">
        <v>165.46533624990801</v>
      </c>
      <c r="AL43" s="17">
        <v>2.0946250297129202E-3</v>
      </c>
      <c r="AM43" s="17">
        <v>171.48747774981899</v>
      </c>
      <c r="AN43" s="17" t="s">
        <v>153</v>
      </c>
      <c r="AO43" s="17" t="s">
        <v>198</v>
      </c>
      <c r="AP43" s="17" t="s">
        <v>199</v>
      </c>
      <c r="AQ43" s="17" t="s">
        <v>110</v>
      </c>
      <c r="AR43" s="17" t="s">
        <v>111</v>
      </c>
      <c r="AS43" s="17" t="s">
        <v>111</v>
      </c>
      <c r="AT43" s="17" t="s">
        <v>200</v>
      </c>
      <c r="AU43" s="17" t="s">
        <v>113</v>
      </c>
      <c r="AV43" s="16"/>
      <c r="AW43" s="16"/>
      <c r="AX43" s="16"/>
      <c r="AY43" s="16"/>
      <c r="AZ43" s="17">
        <v>1.1000000000000001</v>
      </c>
      <c r="BA43" s="17">
        <v>1</v>
      </c>
      <c r="BB43" s="17" t="s">
        <v>171</v>
      </c>
      <c r="BC43" s="17" t="s">
        <v>61</v>
      </c>
      <c r="BD43" s="16"/>
      <c r="BE43" s="17" t="s">
        <v>62</v>
      </c>
      <c r="BF43" s="17" t="s">
        <v>172</v>
      </c>
      <c r="BG43" s="17" t="s">
        <v>173</v>
      </c>
      <c r="BH43" s="16"/>
    </row>
    <row r="44" spans="1:60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 t="s">
        <v>138</v>
      </c>
      <c r="H44" s="22" t="s">
        <v>139</v>
      </c>
      <c r="I44" s="22" t="s">
        <v>96</v>
      </c>
      <c r="J44" s="22" t="s">
        <v>201</v>
      </c>
      <c r="K44" s="17" t="s">
        <v>93</v>
      </c>
      <c r="L44" s="17" t="s">
        <v>93</v>
      </c>
      <c r="M44" s="17" t="s">
        <v>93</v>
      </c>
      <c r="N44" s="17" t="s">
        <v>93</v>
      </c>
      <c r="O44" s="17" t="s">
        <v>93</v>
      </c>
      <c r="P44" s="17" t="s">
        <v>93</v>
      </c>
      <c r="Q44" s="17" t="s">
        <v>93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21</v>
      </c>
      <c r="Z44" s="17">
        <v>171.49872974981599</v>
      </c>
      <c r="AA44" s="16"/>
      <c r="AB44" s="16"/>
      <c r="AC44" s="16"/>
      <c r="AD44" s="16"/>
      <c r="AE44" s="16"/>
      <c r="AF44" s="16"/>
      <c r="AG44" s="16"/>
      <c r="AH44" s="17">
        <v>171.48934037494499</v>
      </c>
      <c r="AI44" s="17">
        <v>171.49872974981599</v>
      </c>
      <c r="AJ44" s="17">
        <v>171.49872974981599</v>
      </c>
      <c r="AK44" s="17">
        <v>171.49872974981599</v>
      </c>
      <c r="AL44" s="17">
        <v>1.7648329958319701E-3</v>
      </c>
      <c r="AM44" s="17">
        <v>181.48606204101799</v>
      </c>
      <c r="AN44" s="17" t="s">
        <v>201</v>
      </c>
      <c r="AO44" s="17" t="s">
        <v>93</v>
      </c>
      <c r="AP44" s="17" t="s">
        <v>93</v>
      </c>
      <c r="AQ44" s="17" t="s">
        <v>93</v>
      </c>
      <c r="AR44" s="17" t="s">
        <v>93</v>
      </c>
      <c r="AS44" s="17" t="s">
        <v>93</v>
      </c>
      <c r="AT44" s="17" t="s">
        <v>93</v>
      </c>
      <c r="AU44" s="17" t="s">
        <v>93</v>
      </c>
      <c r="AV44" s="17">
        <v>181.49775245785699</v>
      </c>
      <c r="AW44" s="17">
        <v>181.49775245785699</v>
      </c>
      <c r="AX44" s="17">
        <v>181.49775245785699</v>
      </c>
      <c r="AY44" s="17">
        <v>9.9982832919340598</v>
      </c>
      <c r="AZ44" s="17">
        <v>1.1000000000000001</v>
      </c>
      <c r="BA44" s="17">
        <v>1</v>
      </c>
      <c r="BB44" s="17" t="s">
        <v>171</v>
      </c>
      <c r="BC44" s="17" t="s">
        <v>61</v>
      </c>
      <c r="BD44" s="16"/>
      <c r="BE44" s="17" t="s">
        <v>62</v>
      </c>
      <c r="BF44" s="17" t="s">
        <v>172</v>
      </c>
      <c r="BG44" s="17" t="s">
        <v>173</v>
      </c>
      <c r="BH44" s="16"/>
    </row>
    <row r="45" spans="1:60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22" t="s">
        <v>167</v>
      </c>
      <c r="H45" s="22" t="s">
        <v>59</v>
      </c>
      <c r="I45" s="22" t="s">
        <v>84</v>
      </c>
      <c r="J45" s="23"/>
      <c r="K45" s="17" t="s">
        <v>202</v>
      </c>
      <c r="L45" s="17" t="s">
        <v>146</v>
      </c>
      <c r="M45" s="17" t="s">
        <v>87</v>
      </c>
      <c r="N45" s="17" t="s">
        <v>88</v>
      </c>
      <c r="O45" s="17" t="s">
        <v>88</v>
      </c>
      <c r="P45" s="17" t="s">
        <v>203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12</v>
      </c>
      <c r="Z45" s="17">
        <v>181.49775245785699</v>
      </c>
      <c r="AA45" s="16"/>
      <c r="AB45" s="16"/>
      <c r="AC45" s="16"/>
      <c r="AD45" s="16"/>
      <c r="AE45" s="16"/>
      <c r="AF45" s="16"/>
      <c r="AG45" s="16"/>
      <c r="AH45" s="17">
        <v>181.488436833024</v>
      </c>
      <c r="AI45" s="17">
        <v>181.49775245785699</v>
      </c>
      <c r="AJ45" s="17">
        <v>181.49775245785699</v>
      </c>
      <c r="AK45" s="17">
        <v>181.49775245785699</v>
      </c>
      <c r="AL45" s="17">
        <v>8.6479191668331601E-4</v>
      </c>
      <c r="AM45" s="17">
        <v>181.68950854102201</v>
      </c>
      <c r="AN45" s="16"/>
      <c r="AO45" s="17" t="s">
        <v>202</v>
      </c>
      <c r="AP45" s="17" t="s">
        <v>146</v>
      </c>
      <c r="AQ45" s="17" t="s">
        <v>87</v>
      </c>
      <c r="AR45" s="17" t="s">
        <v>88</v>
      </c>
      <c r="AS45" s="17" t="s">
        <v>88</v>
      </c>
      <c r="AT45" s="17" t="s">
        <v>203</v>
      </c>
      <c r="AU45" s="17" t="s">
        <v>90</v>
      </c>
      <c r="AV45" s="16"/>
      <c r="AW45" s="16"/>
      <c r="AX45" s="16"/>
      <c r="AY45" s="16"/>
      <c r="AZ45" s="17">
        <v>1.1000000000000001</v>
      </c>
      <c r="BA45" s="17">
        <v>1</v>
      </c>
      <c r="BB45" s="17" t="s">
        <v>171</v>
      </c>
      <c r="BC45" s="17" t="s">
        <v>61</v>
      </c>
      <c r="BD45" s="16"/>
      <c r="BE45" s="17" t="s">
        <v>62</v>
      </c>
      <c r="BF45" s="17" t="s">
        <v>172</v>
      </c>
      <c r="BG45" s="17" t="s">
        <v>173</v>
      </c>
      <c r="BH45" s="16"/>
    </row>
    <row r="46" spans="1:60" ht="168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22" t="s">
        <v>120</v>
      </c>
      <c r="H46" s="22" t="s">
        <v>121</v>
      </c>
      <c r="I46" s="22" t="s">
        <v>96</v>
      </c>
      <c r="J46" s="23"/>
      <c r="K46" s="17" t="s">
        <v>204</v>
      </c>
      <c r="L46" s="17" t="s">
        <v>205</v>
      </c>
      <c r="M46" s="17" t="s">
        <v>206</v>
      </c>
      <c r="N46" s="17" t="s">
        <v>207</v>
      </c>
      <c r="O46" s="17" t="s">
        <v>207</v>
      </c>
      <c r="P46" s="17" t="s">
        <v>208</v>
      </c>
      <c r="Q46" s="17" t="s">
        <v>209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24</v>
      </c>
      <c r="Z46" s="17">
        <v>181.69935245788699</v>
      </c>
      <c r="AA46" s="16"/>
      <c r="AB46" s="16"/>
      <c r="AC46" s="16"/>
      <c r="AD46" s="16"/>
      <c r="AE46" s="16"/>
      <c r="AF46" s="16"/>
      <c r="AG46" s="16"/>
      <c r="AH46" s="17">
        <v>181.69116658298299</v>
      </c>
      <c r="AI46" s="17">
        <v>181.69935245788699</v>
      </c>
      <c r="AJ46" s="17">
        <v>181.69935245788699</v>
      </c>
      <c r="AK46" s="17">
        <v>181.69935245788699</v>
      </c>
      <c r="AL46" s="17">
        <v>1.5781249385327101E-3</v>
      </c>
      <c r="AM46" s="17">
        <v>189.90259737498101</v>
      </c>
      <c r="AN46" s="16"/>
      <c r="AO46" s="17" t="s">
        <v>204</v>
      </c>
      <c r="AP46" s="17" t="s">
        <v>205</v>
      </c>
      <c r="AQ46" s="17" t="s">
        <v>206</v>
      </c>
      <c r="AR46" s="17" t="s">
        <v>207</v>
      </c>
      <c r="AS46" s="17" t="s">
        <v>207</v>
      </c>
      <c r="AT46" s="17" t="s">
        <v>208</v>
      </c>
      <c r="AU46" s="17" t="s">
        <v>209</v>
      </c>
      <c r="AV46" s="16"/>
      <c r="AW46" s="16"/>
      <c r="AX46" s="16"/>
      <c r="AY46" s="16"/>
      <c r="AZ46" s="17">
        <v>1.1000000000000001</v>
      </c>
      <c r="BA46" s="17">
        <v>1</v>
      </c>
      <c r="BB46" s="17" t="s">
        <v>171</v>
      </c>
      <c r="BC46" s="17" t="s">
        <v>61</v>
      </c>
      <c r="BD46" s="16"/>
      <c r="BE46" s="17" t="s">
        <v>62</v>
      </c>
      <c r="BF46" s="17" t="s">
        <v>172</v>
      </c>
      <c r="BG46" s="17" t="s">
        <v>173</v>
      </c>
      <c r="BH46" s="16"/>
    </row>
    <row r="48" spans="1:60" ht="14" x14ac:dyDescent="0.15">
      <c r="K48" s="19" t="s">
        <v>630</v>
      </c>
      <c r="L48" s="17" t="s">
        <v>635</v>
      </c>
      <c r="M48">
        <f>8/12</f>
        <v>0.66666666666666663</v>
      </c>
    </row>
    <row r="49" spans="11:13" ht="14" x14ac:dyDescent="0.15">
      <c r="K49" s="19" t="s">
        <v>631</v>
      </c>
      <c r="L49" s="17" t="s">
        <v>636</v>
      </c>
      <c r="M49">
        <f>2/3</f>
        <v>0.66666666666666663</v>
      </c>
    </row>
    <row r="50" spans="11:13" x14ac:dyDescent="0.15">
      <c r="K50" s="1"/>
    </row>
    <row r="51" spans="11:13" x14ac:dyDescent="0.15">
      <c r="K51" s="19" t="s">
        <v>637</v>
      </c>
      <c r="M51">
        <f>M48-M49</f>
        <v>0</v>
      </c>
    </row>
    <row r="53" spans="11:13" x14ac:dyDescent="0.15">
      <c r="K53" s="19" t="s">
        <v>657</v>
      </c>
      <c r="M53" s="26">
        <v>0.16666666699999999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C4F9-B1AB-F144-B3F9-700007E41B27}">
  <dimension ref="A1:BD51"/>
  <sheetViews>
    <sheetView topLeftCell="A41" workbookViewId="0">
      <selection activeCell="M51" sqref="M51"/>
    </sheetView>
  </sheetViews>
  <sheetFormatPr baseColWidth="10" defaultRowHeight="13" x14ac:dyDescent="0.15"/>
  <cols>
    <col min="11" max="11" width="25.6640625" customWidth="1"/>
    <col min="13" max="13" width="11.6640625" bestFit="1" customWidth="1"/>
  </cols>
  <sheetData>
    <row r="1" spans="1:56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51</v>
      </c>
      <c r="AW1" s="15" t="s">
        <v>52</v>
      </c>
      <c r="AX1" s="15" t="s">
        <v>53</v>
      </c>
      <c r="AY1" s="15" t="s">
        <v>54</v>
      </c>
      <c r="AZ1" s="15" t="s">
        <v>55</v>
      </c>
      <c r="BA1" s="15" t="s">
        <v>56</v>
      </c>
      <c r="BB1" s="15" t="s">
        <v>57</v>
      </c>
      <c r="BC1" s="15" t="s">
        <v>58</v>
      </c>
      <c r="BD1" s="16"/>
    </row>
    <row r="2" spans="1:56" ht="56" x14ac:dyDescent="0.15">
      <c r="A2" s="15" t="s">
        <v>69</v>
      </c>
      <c r="B2" s="17">
        <v>0</v>
      </c>
      <c r="C2" s="17">
        <v>0</v>
      </c>
      <c r="D2" s="17">
        <v>0</v>
      </c>
      <c r="E2" s="17">
        <v>1.0431654676258999</v>
      </c>
      <c r="F2" s="17">
        <v>1.4503830419853301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8</v>
      </c>
      <c r="V2" s="16"/>
      <c r="W2" s="16"/>
      <c r="X2" s="16"/>
      <c r="Y2" s="16"/>
      <c r="Z2" s="17">
        <v>4.2250458151102101E-2</v>
      </c>
      <c r="AA2" s="16"/>
      <c r="AB2" s="17">
        <v>2.14187500532717E-2</v>
      </c>
      <c r="AC2" s="17">
        <v>4.2250458151102101E-2</v>
      </c>
      <c r="AD2" s="17">
        <v>4.2250458151102101E-2</v>
      </c>
      <c r="AE2" s="17">
        <v>1.4803712081629801</v>
      </c>
      <c r="AF2" s="17">
        <v>1.0431654676258999</v>
      </c>
      <c r="AG2" s="17">
        <v>1.4503830419853301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>
        <v>2</v>
      </c>
      <c r="AW2" s="17">
        <v>1</v>
      </c>
      <c r="AX2" s="17" t="s">
        <v>210</v>
      </c>
      <c r="AY2" s="17" t="s">
        <v>61</v>
      </c>
      <c r="AZ2" s="16"/>
      <c r="BA2" s="17" t="s">
        <v>62</v>
      </c>
      <c r="BB2" s="17" t="s">
        <v>172</v>
      </c>
      <c r="BC2" s="17" t="s">
        <v>211</v>
      </c>
      <c r="BD2" s="16"/>
    </row>
    <row r="3" spans="1:56" ht="56" x14ac:dyDescent="0.15">
      <c r="A3" s="15" t="s">
        <v>72</v>
      </c>
      <c r="B3" s="17">
        <v>1</v>
      </c>
      <c r="C3" s="17">
        <v>1</v>
      </c>
      <c r="D3" s="17">
        <v>0</v>
      </c>
      <c r="E3" s="17">
        <v>1.0431654676258999</v>
      </c>
      <c r="F3" s="17">
        <v>0.889693249948323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0</v>
      </c>
      <c r="V3" s="16"/>
      <c r="W3" s="16"/>
      <c r="X3" s="16"/>
      <c r="Y3" s="16"/>
      <c r="Z3" s="17">
        <v>1.4887840000446899</v>
      </c>
      <c r="AA3" s="16"/>
      <c r="AB3" s="17">
        <v>1.4821243330370599</v>
      </c>
      <c r="AC3" s="17">
        <v>1.4887840000446899</v>
      </c>
      <c r="AD3" s="17">
        <v>1.4887840000446899</v>
      </c>
      <c r="AE3" s="17">
        <v>2.3808748750016102</v>
      </c>
      <c r="AF3" s="17">
        <v>1.0431654676258999</v>
      </c>
      <c r="AG3" s="17">
        <v>0.889693249948323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7">
        <v>2</v>
      </c>
      <c r="AW3" s="17">
        <v>1</v>
      </c>
      <c r="AX3" s="17" t="s">
        <v>210</v>
      </c>
      <c r="AY3" s="17" t="s">
        <v>61</v>
      </c>
      <c r="AZ3" s="16"/>
      <c r="BA3" s="17" t="s">
        <v>62</v>
      </c>
      <c r="BB3" s="17" t="s">
        <v>172</v>
      </c>
      <c r="BC3" s="17" t="s">
        <v>211</v>
      </c>
      <c r="BD3" s="16"/>
    </row>
    <row r="4" spans="1:56" ht="56" x14ac:dyDescent="0.15">
      <c r="A4" s="15" t="s">
        <v>82</v>
      </c>
      <c r="B4" s="17">
        <v>2</v>
      </c>
      <c r="C4" s="17">
        <v>2</v>
      </c>
      <c r="D4" s="17">
        <v>0</v>
      </c>
      <c r="E4" s="17">
        <v>1.0431654676258999</v>
      </c>
      <c r="F4" s="17">
        <v>0.73756120796315405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9</v>
      </c>
      <c r="V4" s="16"/>
      <c r="W4" s="16"/>
      <c r="X4" s="16"/>
      <c r="Y4" s="16"/>
      <c r="Z4" s="17">
        <v>2.39085816708393</v>
      </c>
      <c r="AA4" s="16"/>
      <c r="AB4" s="17">
        <v>2.3842210001312201</v>
      </c>
      <c r="AC4" s="17">
        <v>2.39085816708393</v>
      </c>
      <c r="AD4" s="17">
        <v>2.39085816708393</v>
      </c>
      <c r="AE4" s="17">
        <v>3.1308276250492799</v>
      </c>
      <c r="AF4" s="17">
        <v>1.0431654676258999</v>
      </c>
      <c r="AG4" s="17">
        <v>0.73756120796315405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7">
        <v>2</v>
      </c>
      <c r="AW4" s="17">
        <v>1</v>
      </c>
      <c r="AX4" s="17" t="s">
        <v>210</v>
      </c>
      <c r="AY4" s="17" t="s">
        <v>61</v>
      </c>
      <c r="AZ4" s="16"/>
      <c r="BA4" s="17" t="s">
        <v>62</v>
      </c>
      <c r="BB4" s="17" t="s">
        <v>172</v>
      </c>
      <c r="BC4" s="17" t="s">
        <v>211</v>
      </c>
      <c r="BD4" s="16"/>
    </row>
    <row r="5" spans="1:56" ht="56" x14ac:dyDescent="0.15">
      <c r="A5" s="15" t="s">
        <v>71</v>
      </c>
      <c r="B5" s="17">
        <v>3</v>
      </c>
      <c r="C5" s="17">
        <v>3</v>
      </c>
      <c r="D5" s="17">
        <v>0</v>
      </c>
      <c r="E5" s="17">
        <v>1.0431654676258999</v>
      </c>
      <c r="F5" s="17">
        <v>1.03790695779026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19</v>
      </c>
      <c r="V5" s="16"/>
      <c r="W5" s="16"/>
      <c r="X5" s="16"/>
      <c r="Y5" s="16"/>
      <c r="Z5" s="17">
        <v>3.1403396250680098</v>
      </c>
      <c r="AA5" s="16"/>
      <c r="AB5" s="17">
        <v>3.1338392500765599</v>
      </c>
      <c r="AC5" s="17">
        <v>3.1403396250680098</v>
      </c>
      <c r="AD5" s="17">
        <v>3.1403396250680098</v>
      </c>
      <c r="AE5" s="17">
        <v>4.1808230001479396</v>
      </c>
      <c r="AF5" s="17">
        <v>1.0431654676258999</v>
      </c>
      <c r="AG5" s="17">
        <v>1.03790695779026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7">
        <v>2</v>
      </c>
      <c r="AW5" s="17">
        <v>1</v>
      </c>
      <c r="AX5" s="17" t="s">
        <v>210</v>
      </c>
      <c r="AY5" s="17" t="s">
        <v>61</v>
      </c>
      <c r="AZ5" s="16"/>
      <c r="BA5" s="17" t="s">
        <v>62</v>
      </c>
      <c r="BB5" s="17" t="s">
        <v>172</v>
      </c>
      <c r="BC5" s="17" t="s">
        <v>211</v>
      </c>
      <c r="BD5" s="16"/>
    </row>
    <row r="6" spans="1:56" ht="56" x14ac:dyDescent="0.15">
      <c r="A6" s="15" t="s">
        <v>70</v>
      </c>
      <c r="B6" s="17">
        <v>4</v>
      </c>
      <c r="C6" s="17">
        <v>4</v>
      </c>
      <c r="D6" s="17">
        <v>0</v>
      </c>
      <c r="E6" s="17">
        <v>1.0431654676258999</v>
      </c>
      <c r="F6" s="17">
        <v>0.68760220799595095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2</v>
      </c>
      <c r="V6" s="16"/>
      <c r="W6" s="16"/>
      <c r="X6" s="16"/>
      <c r="Y6" s="16"/>
      <c r="Z6" s="17">
        <v>4.1905911669600799</v>
      </c>
      <c r="AA6" s="16"/>
      <c r="AB6" s="17">
        <v>4.18405375001021</v>
      </c>
      <c r="AC6" s="17">
        <v>4.1905911669600799</v>
      </c>
      <c r="AD6" s="17">
        <v>4.1905911669600799</v>
      </c>
      <c r="AE6" s="17">
        <v>4.8808517081197396</v>
      </c>
      <c r="AF6" s="17">
        <v>1.0431654676258999</v>
      </c>
      <c r="AG6" s="17">
        <v>0.68760220799595095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7">
        <v>2</v>
      </c>
      <c r="AW6" s="17">
        <v>1</v>
      </c>
      <c r="AX6" s="17" t="s">
        <v>210</v>
      </c>
      <c r="AY6" s="17" t="s">
        <v>61</v>
      </c>
      <c r="AZ6" s="16"/>
      <c r="BA6" s="17" t="s">
        <v>62</v>
      </c>
      <c r="BB6" s="17" t="s">
        <v>172</v>
      </c>
      <c r="BC6" s="17" t="s">
        <v>211</v>
      </c>
      <c r="BD6" s="16"/>
    </row>
    <row r="7" spans="1:56" ht="56" x14ac:dyDescent="0.15">
      <c r="A7" s="15" t="s">
        <v>64</v>
      </c>
      <c r="B7" s="17">
        <v>5</v>
      </c>
      <c r="C7" s="17">
        <v>5</v>
      </c>
      <c r="D7" s="17">
        <v>0</v>
      </c>
      <c r="E7" s="17">
        <v>1.0431654676258999</v>
      </c>
      <c r="F7" s="17">
        <v>1.17126208310947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18</v>
      </c>
      <c r="V7" s="16"/>
      <c r="W7" s="16"/>
      <c r="X7" s="16"/>
      <c r="Y7" s="16"/>
      <c r="Z7" s="17">
        <v>4.8900037920102504</v>
      </c>
      <c r="AA7" s="16"/>
      <c r="AB7" s="17">
        <v>4.8835868330206704</v>
      </c>
      <c r="AC7" s="17">
        <v>4.8900037920102504</v>
      </c>
      <c r="AD7" s="17">
        <v>4.8900037920102504</v>
      </c>
      <c r="AE7" s="17">
        <v>6.0640980000607696</v>
      </c>
      <c r="AF7" s="17">
        <v>1.0431654676258999</v>
      </c>
      <c r="AG7" s="17">
        <v>1.17126208310947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7">
        <v>2</v>
      </c>
      <c r="AW7" s="17">
        <v>1</v>
      </c>
      <c r="AX7" s="17" t="s">
        <v>210</v>
      </c>
      <c r="AY7" s="17" t="s">
        <v>61</v>
      </c>
      <c r="AZ7" s="16"/>
      <c r="BA7" s="17" t="s">
        <v>62</v>
      </c>
      <c r="BB7" s="17" t="s">
        <v>172</v>
      </c>
      <c r="BC7" s="17" t="s">
        <v>211</v>
      </c>
      <c r="BD7" s="16"/>
    </row>
    <row r="8" spans="1:56" ht="56" x14ac:dyDescent="0.15">
      <c r="A8" s="15" t="s">
        <v>79</v>
      </c>
      <c r="B8" s="17">
        <v>6</v>
      </c>
      <c r="C8" s="17">
        <v>6</v>
      </c>
      <c r="D8" s="17">
        <v>0</v>
      </c>
      <c r="E8" s="17">
        <v>1.0431654676258999</v>
      </c>
      <c r="F8" s="17">
        <v>0.78932237485423695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3</v>
      </c>
      <c r="V8" s="16"/>
      <c r="W8" s="16"/>
      <c r="X8" s="16"/>
      <c r="Y8" s="16"/>
      <c r="Z8" s="17">
        <v>6.0722060000989604</v>
      </c>
      <c r="AA8" s="16"/>
      <c r="AB8" s="17">
        <v>6.0657529579475504</v>
      </c>
      <c r="AC8" s="17">
        <v>6.0722060000989604</v>
      </c>
      <c r="AD8" s="17">
        <v>6.0722060000989604</v>
      </c>
      <c r="AE8" s="17">
        <v>6.8641456670593497</v>
      </c>
      <c r="AF8" s="17">
        <v>1.0431654676258999</v>
      </c>
      <c r="AG8" s="17">
        <v>0.78932237485423695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7">
        <v>2</v>
      </c>
      <c r="AW8" s="17">
        <v>1</v>
      </c>
      <c r="AX8" s="17" t="s">
        <v>210</v>
      </c>
      <c r="AY8" s="17" t="s">
        <v>61</v>
      </c>
      <c r="AZ8" s="16"/>
      <c r="BA8" s="17" t="s">
        <v>62</v>
      </c>
      <c r="BB8" s="17" t="s">
        <v>172</v>
      </c>
      <c r="BC8" s="17" t="s">
        <v>211</v>
      </c>
      <c r="BD8" s="16"/>
    </row>
    <row r="9" spans="1:56" ht="56" x14ac:dyDescent="0.15">
      <c r="A9" s="15" t="s">
        <v>73</v>
      </c>
      <c r="B9" s="17">
        <v>7</v>
      </c>
      <c r="C9" s="17">
        <v>7</v>
      </c>
      <c r="D9" s="17">
        <v>0</v>
      </c>
      <c r="E9" s="17">
        <v>1.0431654676258999</v>
      </c>
      <c r="F9" s="17">
        <v>1.4385291670914699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14</v>
      </c>
      <c r="V9" s="16"/>
      <c r="W9" s="16"/>
      <c r="X9" s="16"/>
      <c r="Y9" s="16"/>
      <c r="Z9" s="17">
        <v>6.8732727919705203</v>
      </c>
      <c r="AA9" s="16"/>
      <c r="AB9" s="17">
        <v>6.8666532081551903</v>
      </c>
      <c r="AC9" s="17">
        <v>6.8732727919705203</v>
      </c>
      <c r="AD9" s="17">
        <v>6.8732727919705203</v>
      </c>
      <c r="AE9" s="17">
        <v>8.3141511669382506</v>
      </c>
      <c r="AF9" s="17">
        <v>1.0431654676258999</v>
      </c>
      <c r="AG9" s="17">
        <v>1.4385291670914699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7">
        <v>2</v>
      </c>
      <c r="AW9" s="17">
        <v>1</v>
      </c>
      <c r="AX9" s="17" t="s">
        <v>210</v>
      </c>
      <c r="AY9" s="17" t="s">
        <v>61</v>
      </c>
      <c r="AZ9" s="16"/>
      <c r="BA9" s="17" t="s">
        <v>62</v>
      </c>
      <c r="BB9" s="17" t="s">
        <v>172</v>
      </c>
      <c r="BC9" s="17" t="s">
        <v>211</v>
      </c>
      <c r="BD9" s="16"/>
    </row>
    <row r="10" spans="1:56" ht="56" x14ac:dyDescent="0.15">
      <c r="A10" s="15" t="s">
        <v>80</v>
      </c>
      <c r="B10" s="17">
        <v>8</v>
      </c>
      <c r="C10" s="17">
        <v>8</v>
      </c>
      <c r="D10" s="17">
        <v>0</v>
      </c>
      <c r="E10" s="17">
        <v>1.0431654676258999</v>
      </c>
      <c r="F10" s="17">
        <v>2.45538462488912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15</v>
      </c>
      <c r="V10" s="16"/>
      <c r="W10" s="16"/>
      <c r="X10" s="16"/>
      <c r="Y10" s="16"/>
      <c r="Z10" s="17">
        <v>8.3226209580898303</v>
      </c>
      <c r="AA10" s="16"/>
      <c r="AB10" s="17">
        <v>8.3160313330590707</v>
      </c>
      <c r="AC10" s="17">
        <v>8.3226209580898303</v>
      </c>
      <c r="AD10" s="17">
        <v>8.3226209580898303</v>
      </c>
      <c r="AE10" s="17">
        <v>10.780852457974101</v>
      </c>
      <c r="AF10" s="17">
        <v>1.0431654676258999</v>
      </c>
      <c r="AG10" s="17">
        <v>2.45538462488912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7">
        <v>2</v>
      </c>
      <c r="AW10" s="17">
        <v>1</v>
      </c>
      <c r="AX10" s="17" t="s">
        <v>210</v>
      </c>
      <c r="AY10" s="17" t="s">
        <v>61</v>
      </c>
      <c r="AZ10" s="16"/>
      <c r="BA10" s="17" t="s">
        <v>62</v>
      </c>
      <c r="BB10" s="17" t="s">
        <v>172</v>
      </c>
      <c r="BC10" s="17" t="s">
        <v>211</v>
      </c>
      <c r="BD10" s="16"/>
    </row>
    <row r="11" spans="1:56" ht="56" x14ac:dyDescent="0.15">
      <c r="A11" s="15" t="s">
        <v>78</v>
      </c>
      <c r="B11" s="17">
        <v>9</v>
      </c>
      <c r="C11" s="17">
        <v>9</v>
      </c>
      <c r="D11" s="17">
        <v>0</v>
      </c>
      <c r="E11" s="17">
        <v>1.0431654676258999</v>
      </c>
      <c r="F11" s="17">
        <v>0.62231408408843003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5</v>
      </c>
      <c r="V11" s="16"/>
      <c r="W11" s="16"/>
      <c r="X11" s="16"/>
      <c r="Y11" s="16"/>
      <c r="Z11" s="17">
        <v>10.7894738749601</v>
      </c>
      <c r="AA11" s="16"/>
      <c r="AB11" s="17">
        <v>10.782848292030399</v>
      </c>
      <c r="AC11" s="17">
        <v>10.7894738749601</v>
      </c>
      <c r="AD11" s="17">
        <v>10.7894738749601</v>
      </c>
      <c r="AE11" s="17">
        <v>11.4141017501242</v>
      </c>
      <c r="AF11" s="17">
        <v>1.0431654676258999</v>
      </c>
      <c r="AG11" s="17">
        <v>0.62231408408843003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7">
        <v>2</v>
      </c>
      <c r="AW11" s="17">
        <v>1</v>
      </c>
      <c r="AX11" s="17" t="s">
        <v>210</v>
      </c>
      <c r="AY11" s="17" t="s">
        <v>61</v>
      </c>
      <c r="AZ11" s="16"/>
      <c r="BA11" s="17" t="s">
        <v>62</v>
      </c>
      <c r="BB11" s="17" t="s">
        <v>172</v>
      </c>
      <c r="BC11" s="17" t="s">
        <v>211</v>
      </c>
      <c r="BD11" s="16"/>
    </row>
    <row r="12" spans="1:56" ht="56" x14ac:dyDescent="0.15">
      <c r="A12" s="15" t="s">
        <v>66</v>
      </c>
      <c r="B12" s="17">
        <v>10</v>
      </c>
      <c r="C12" s="17">
        <v>10</v>
      </c>
      <c r="D12" s="17">
        <v>0</v>
      </c>
      <c r="E12" s="17">
        <v>1.0431654676258999</v>
      </c>
      <c r="F12" s="17">
        <v>0.50585683295503303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1</v>
      </c>
      <c r="V12" s="16"/>
      <c r="W12" s="16"/>
      <c r="X12" s="16"/>
      <c r="Y12" s="16"/>
      <c r="Z12" s="17">
        <v>11.422569417161901</v>
      </c>
      <c r="AA12" s="16"/>
      <c r="AB12" s="17">
        <v>11.415953583084001</v>
      </c>
      <c r="AC12" s="17">
        <v>11.422569417161901</v>
      </c>
      <c r="AD12" s="17">
        <v>11.422569417161901</v>
      </c>
      <c r="AE12" s="17">
        <v>11.9308009580709</v>
      </c>
      <c r="AF12" s="17">
        <v>1.0431654676258999</v>
      </c>
      <c r="AG12" s="17">
        <v>0.50585683295503303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7">
        <v>2</v>
      </c>
      <c r="AW12" s="17">
        <v>1</v>
      </c>
      <c r="AX12" s="17" t="s">
        <v>210</v>
      </c>
      <c r="AY12" s="17" t="s">
        <v>61</v>
      </c>
      <c r="AZ12" s="16"/>
      <c r="BA12" s="17" t="s">
        <v>62</v>
      </c>
      <c r="BB12" s="17" t="s">
        <v>172</v>
      </c>
      <c r="BC12" s="17" t="s">
        <v>211</v>
      </c>
      <c r="BD12" s="16"/>
    </row>
    <row r="13" spans="1:56" ht="56" x14ac:dyDescent="0.15">
      <c r="A13" s="15" t="s">
        <v>59</v>
      </c>
      <c r="B13" s="17">
        <v>11</v>
      </c>
      <c r="C13" s="17">
        <v>11</v>
      </c>
      <c r="D13" s="17">
        <v>0</v>
      </c>
      <c r="E13" s="17">
        <v>3.0431654676258999</v>
      </c>
      <c r="F13" s="17">
        <v>1.8890094999223901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12</v>
      </c>
      <c r="V13" s="16"/>
      <c r="W13" s="16"/>
      <c r="X13" s="16"/>
      <c r="Y13" s="16"/>
      <c r="Z13" s="17">
        <v>11.9393102920149</v>
      </c>
      <c r="AA13" s="16"/>
      <c r="AB13" s="17">
        <v>11.9326350830961</v>
      </c>
      <c r="AC13" s="17">
        <v>11.9393102920149</v>
      </c>
      <c r="AD13" s="17">
        <v>11.9393102920149</v>
      </c>
      <c r="AE13" s="17">
        <v>13.830747292144199</v>
      </c>
      <c r="AF13" s="17">
        <v>3.0431654676258999</v>
      </c>
      <c r="AG13" s="17">
        <v>1.8890094999223901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7">
        <v>2</v>
      </c>
      <c r="AW13" s="17">
        <v>1</v>
      </c>
      <c r="AX13" s="17" t="s">
        <v>210</v>
      </c>
      <c r="AY13" s="17" t="s">
        <v>61</v>
      </c>
      <c r="AZ13" s="16"/>
      <c r="BA13" s="17" t="s">
        <v>62</v>
      </c>
      <c r="BB13" s="17" t="s">
        <v>172</v>
      </c>
      <c r="BC13" s="17" t="s">
        <v>211</v>
      </c>
      <c r="BD13" s="16"/>
    </row>
    <row r="14" spans="1:56" ht="56" x14ac:dyDescent="0.15">
      <c r="A14" s="15" t="s">
        <v>68</v>
      </c>
      <c r="B14" s="17">
        <v>12</v>
      </c>
      <c r="C14" s="17">
        <v>12</v>
      </c>
      <c r="D14" s="17">
        <v>0</v>
      </c>
      <c r="E14" s="17">
        <v>4.0971223021582697</v>
      </c>
      <c r="F14" s="17">
        <v>1.5059228329919301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17</v>
      </c>
      <c r="V14" s="16"/>
      <c r="W14" s="16"/>
      <c r="X14" s="16"/>
      <c r="Y14" s="16"/>
      <c r="Z14" s="17">
        <v>13.8389939579647</v>
      </c>
      <c r="AA14" s="16"/>
      <c r="AB14" s="17">
        <v>13.832555582979699</v>
      </c>
      <c r="AC14" s="17">
        <v>13.8389939579647</v>
      </c>
      <c r="AD14" s="17">
        <v>13.8389939579647</v>
      </c>
      <c r="AE14" s="17">
        <v>15.3474194579758</v>
      </c>
      <c r="AF14" s="17">
        <v>4.0971223021582697</v>
      </c>
      <c r="AG14" s="17">
        <v>1.5059228329919301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7">
        <v>2</v>
      </c>
      <c r="AW14" s="17">
        <v>1</v>
      </c>
      <c r="AX14" s="17" t="s">
        <v>210</v>
      </c>
      <c r="AY14" s="17" t="s">
        <v>61</v>
      </c>
      <c r="AZ14" s="16"/>
      <c r="BA14" s="17" t="s">
        <v>62</v>
      </c>
      <c r="BB14" s="17" t="s">
        <v>172</v>
      </c>
      <c r="BC14" s="17" t="s">
        <v>211</v>
      </c>
      <c r="BD14" s="16"/>
    </row>
    <row r="15" spans="1:56" ht="56" x14ac:dyDescent="0.15">
      <c r="A15" s="15" t="s">
        <v>76</v>
      </c>
      <c r="B15" s="17">
        <v>13</v>
      </c>
      <c r="C15" s="17">
        <v>13</v>
      </c>
      <c r="D15" s="17">
        <v>0</v>
      </c>
      <c r="E15" s="17">
        <v>1</v>
      </c>
      <c r="F15" s="17">
        <v>1.8721855829935501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6</v>
      </c>
      <c r="V15" s="16"/>
      <c r="W15" s="16"/>
      <c r="X15" s="16"/>
      <c r="Y15" s="16"/>
      <c r="Z15" s="17">
        <v>15.355813000118401</v>
      </c>
      <c r="AA15" s="16"/>
      <c r="AB15" s="17">
        <v>15.349292082944901</v>
      </c>
      <c r="AC15" s="17">
        <v>15.355813000118401</v>
      </c>
      <c r="AD15" s="17">
        <v>15.355813000118401</v>
      </c>
      <c r="AE15" s="17">
        <v>17.230776417069102</v>
      </c>
      <c r="AF15" s="17">
        <v>1</v>
      </c>
      <c r="AG15" s="17">
        <v>1.8721855829935501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7">
        <v>2</v>
      </c>
      <c r="AW15" s="17">
        <v>1</v>
      </c>
      <c r="AX15" s="17" t="s">
        <v>210</v>
      </c>
      <c r="AY15" s="17" t="s">
        <v>61</v>
      </c>
      <c r="AZ15" s="16"/>
      <c r="BA15" s="17" t="s">
        <v>62</v>
      </c>
      <c r="BB15" s="17" t="s">
        <v>172</v>
      </c>
      <c r="BC15" s="17" t="s">
        <v>211</v>
      </c>
      <c r="BD15" s="16"/>
    </row>
    <row r="16" spans="1:56" ht="56" x14ac:dyDescent="0.15">
      <c r="A16" s="15" t="s">
        <v>74</v>
      </c>
      <c r="B16" s="17">
        <v>14</v>
      </c>
      <c r="C16" s="17">
        <v>14</v>
      </c>
      <c r="D16" s="17">
        <v>0</v>
      </c>
      <c r="E16" s="17">
        <v>1</v>
      </c>
      <c r="F16" s="17">
        <v>0.822506290860474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13</v>
      </c>
      <c r="V16" s="16"/>
      <c r="W16" s="16"/>
      <c r="X16" s="16"/>
      <c r="Y16" s="16"/>
      <c r="Z16" s="17">
        <v>17.2389630831312</v>
      </c>
      <c r="AA16" s="16"/>
      <c r="AB16" s="17">
        <v>17.232521000085399</v>
      </c>
      <c r="AC16" s="17">
        <v>17.2389630831312</v>
      </c>
      <c r="AD16" s="17">
        <v>17.2389630831312</v>
      </c>
      <c r="AE16" s="17">
        <v>18.063977875048302</v>
      </c>
      <c r="AF16" s="17">
        <v>1</v>
      </c>
      <c r="AG16" s="17">
        <v>0.822506290860474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7">
        <v>2</v>
      </c>
      <c r="AW16" s="17">
        <v>1</v>
      </c>
      <c r="AX16" s="17" t="s">
        <v>210</v>
      </c>
      <c r="AY16" s="17" t="s">
        <v>61</v>
      </c>
      <c r="AZ16" s="16"/>
      <c r="BA16" s="17" t="s">
        <v>62</v>
      </c>
      <c r="BB16" s="17" t="s">
        <v>172</v>
      </c>
      <c r="BC16" s="17" t="s">
        <v>211</v>
      </c>
      <c r="BD16" s="16"/>
    </row>
    <row r="17" spans="1:56" ht="56" x14ac:dyDescent="0.15">
      <c r="A17" s="15" t="s">
        <v>75</v>
      </c>
      <c r="B17" s="17">
        <v>15</v>
      </c>
      <c r="C17" s="17">
        <v>15</v>
      </c>
      <c r="D17" s="17">
        <v>0</v>
      </c>
      <c r="E17" s="17">
        <v>1</v>
      </c>
      <c r="F17" s="17">
        <v>0.77371316589415096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7</v>
      </c>
      <c r="V17" s="16"/>
      <c r="W17" s="16"/>
      <c r="X17" s="16"/>
      <c r="Y17" s="16"/>
      <c r="Z17" s="17">
        <v>18.0724720419385</v>
      </c>
      <c r="AA17" s="16"/>
      <c r="AB17" s="17">
        <v>18.065769167151299</v>
      </c>
      <c r="AC17" s="17">
        <v>18.0724720419385</v>
      </c>
      <c r="AD17" s="17">
        <v>18.0724720419385</v>
      </c>
      <c r="AE17" s="17">
        <v>18.847741542151201</v>
      </c>
      <c r="AF17" s="17">
        <v>1</v>
      </c>
      <c r="AG17" s="17">
        <v>0.77371316589415096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7">
        <v>2</v>
      </c>
      <c r="AW17" s="17">
        <v>1</v>
      </c>
      <c r="AX17" s="17" t="s">
        <v>210</v>
      </c>
      <c r="AY17" s="17" t="s">
        <v>61</v>
      </c>
      <c r="AZ17" s="16"/>
      <c r="BA17" s="17" t="s">
        <v>62</v>
      </c>
      <c r="BB17" s="17" t="s">
        <v>172</v>
      </c>
      <c r="BC17" s="17" t="s">
        <v>211</v>
      </c>
      <c r="BD17" s="16"/>
    </row>
    <row r="18" spans="1:56" ht="56" x14ac:dyDescent="0.15">
      <c r="A18" s="15" t="s">
        <v>67</v>
      </c>
      <c r="B18" s="17">
        <v>16</v>
      </c>
      <c r="C18" s="17">
        <v>16</v>
      </c>
      <c r="D18" s="17">
        <v>0</v>
      </c>
      <c r="E18" s="17">
        <v>1</v>
      </c>
      <c r="F18" s="17">
        <v>0.60517891705967497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16</v>
      </c>
      <c r="V18" s="16"/>
      <c r="W18" s="16"/>
      <c r="X18" s="16"/>
      <c r="Y18" s="16"/>
      <c r="Z18" s="17">
        <v>18.857836458133502</v>
      </c>
      <c r="AA18" s="16"/>
      <c r="AB18" s="17">
        <v>18.849974832963198</v>
      </c>
      <c r="AC18" s="17">
        <v>18.857836458133502</v>
      </c>
      <c r="AD18" s="17">
        <v>18.857836458133502</v>
      </c>
      <c r="AE18" s="17">
        <v>19.464163125027</v>
      </c>
      <c r="AF18" s="17">
        <v>1</v>
      </c>
      <c r="AG18" s="17">
        <v>0.60517891705967497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7">
        <v>2</v>
      </c>
      <c r="AW18" s="17">
        <v>1</v>
      </c>
      <c r="AX18" s="17" t="s">
        <v>210</v>
      </c>
      <c r="AY18" s="17" t="s">
        <v>61</v>
      </c>
      <c r="AZ18" s="16"/>
      <c r="BA18" s="17" t="s">
        <v>62</v>
      </c>
      <c r="BB18" s="17" t="s">
        <v>172</v>
      </c>
      <c r="BC18" s="17" t="s">
        <v>211</v>
      </c>
      <c r="BD18" s="16"/>
    </row>
    <row r="19" spans="1:56" ht="56" x14ac:dyDescent="0.15">
      <c r="A19" s="15" t="s">
        <v>65</v>
      </c>
      <c r="B19" s="17">
        <v>17</v>
      </c>
      <c r="C19" s="17">
        <v>17</v>
      </c>
      <c r="D19" s="17">
        <v>0</v>
      </c>
      <c r="E19" s="17">
        <v>1</v>
      </c>
      <c r="F19" s="17">
        <v>0.57216204097494505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11</v>
      </c>
      <c r="V19" s="16"/>
      <c r="W19" s="16"/>
      <c r="X19" s="16"/>
      <c r="Y19" s="16"/>
      <c r="Z19" s="17">
        <v>19.472790667088699</v>
      </c>
      <c r="AA19" s="16"/>
      <c r="AB19" s="17">
        <v>19.4662182501052</v>
      </c>
      <c r="AC19" s="17">
        <v>19.472790667088699</v>
      </c>
      <c r="AD19" s="17">
        <v>19.472790667088699</v>
      </c>
      <c r="AE19" s="17">
        <v>20.047416917048398</v>
      </c>
      <c r="AF19" s="17">
        <v>1</v>
      </c>
      <c r="AG19" s="17">
        <v>0.57216204097494505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7">
        <v>2</v>
      </c>
      <c r="AW19" s="17">
        <v>1</v>
      </c>
      <c r="AX19" s="17" t="s">
        <v>210</v>
      </c>
      <c r="AY19" s="17" t="s">
        <v>61</v>
      </c>
      <c r="AZ19" s="16"/>
      <c r="BA19" s="17" t="s">
        <v>62</v>
      </c>
      <c r="BB19" s="17" t="s">
        <v>172</v>
      </c>
      <c r="BC19" s="17" t="s">
        <v>211</v>
      </c>
      <c r="BD19" s="16"/>
    </row>
    <row r="20" spans="1:56" ht="56" x14ac:dyDescent="0.15">
      <c r="A20" s="15" t="s">
        <v>77</v>
      </c>
      <c r="B20" s="17">
        <v>18</v>
      </c>
      <c r="C20" s="17">
        <v>18</v>
      </c>
      <c r="D20" s="17">
        <v>0</v>
      </c>
      <c r="E20" s="17">
        <v>1</v>
      </c>
      <c r="F20" s="17">
        <v>0.67184995790012203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10</v>
      </c>
      <c r="V20" s="16"/>
      <c r="W20" s="16"/>
      <c r="X20" s="16"/>
      <c r="Y20" s="16"/>
      <c r="Z20" s="17">
        <v>20.056535083102101</v>
      </c>
      <c r="AA20" s="16"/>
      <c r="AB20" s="17">
        <v>20.050005499971999</v>
      </c>
      <c r="AC20" s="17">
        <v>20.056535083102101</v>
      </c>
      <c r="AD20" s="17">
        <v>20.056535083102101</v>
      </c>
      <c r="AE20" s="17">
        <v>20.730710166972099</v>
      </c>
      <c r="AF20" s="17">
        <v>1</v>
      </c>
      <c r="AG20" s="17">
        <v>0.67184995790012203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7">
        <v>2</v>
      </c>
      <c r="AW20" s="17">
        <v>1</v>
      </c>
      <c r="AX20" s="17" t="s">
        <v>210</v>
      </c>
      <c r="AY20" s="17" t="s">
        <v>61</v>
      </c>
      <c r="AZ20" s="16"/>
      <c r="BA20" s="17" t="s">
        <v>62</v>
      </c>
      <c r="BB20" s="17" t="s">
        <v>172</v>
      </c>
      <c r="BC20" s="17" t="s">
        <v>211</v>
      </c>
      <c r="BD20" s="16"/>
    </row>
    <row r="21" spans="1:56" ht="56" x14ac:dyDescent="0.15">
      <c r="A21" s="15" t="s">
        <v>81</v>
      </c>
      <c r="B21" s="17">
        <v>19</v>
      </c>
      <c r="C21" s="17">
        <v>19</v>
      </c>
      <c r="D21" s="17">
        <v>0</v>
      </c>
      <c r="E21" s="17">
        <v>1</v>
      </c>
      <c r="F21" s="17">
        <v>0.47281179111450899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4</v>
      </c>
      <c r="V21" s="16"/>
      <c r="W21" s="16"/>
      <c r="X21" s="16"/>
      <c r="Y21" s="16"/>
      <c r="Z21" s="17">
        <v>20.7391356250737</v>
      </c>
      <c r="AA21" s="16"/>
      <c r="AB21" s="17">
        <v>20.732365916948801</v>
      </c>
      <c r="AC21" s="17">
        <v>20.7391356250737</v>
      </c>
      <c r="AD21" s="17">
        <v>20.7391356250737</v>
      </c>
      <c r="AE21" s="17">
        <v>21.213536333059899</v>
      </c>
      <c r="AF21" s="17">
        <v>1</v>
      </c>
      <c r="AG21" s="17">
        <v>0.47281179111450899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>
        <v>2</v>
      </c>
      <c r="AW21" s="17">
        <v>1</v>
      </c>
      <c r="AX21" s="17" t="s">
        <v>210</v>
      </c>
      <c r="AY21" s="17" t="s">
        <v>61</v>
      </c>
      <c r="AZ21" s="16"/>
      <c r="BA21" s="17" t="s">
        <v>62</v>
      </c>
      <c r="BB21" s="17" t="s">
        <v>172</v>
      </c>
      <c r="BC21" s="17" t="s">
        <v>211</v>
      </c>
      <c r="BD21" s="16"/>
    </row>
    <row r="22" spans="1:56" ht="56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22" t="s">
        <v>138</v>
      </c>
      <c r="H22" s="22" t="s">
        <v>139</v>
      </c>
      <c r="I22" s="22" t="s">
        <v>96</v>
      </c>
      <c r="J22" s="22" t="s">
        <v>212</v>
      </c>
      <c r="K22" s="17" t="s">
        <v>213</v>
      </c>
      <c r="L22" s="17" t="s">
        <v>214</v>
      </c>
      <c r="M22" s="17" t="s">
        <v>87</v>
      </c>
      <c r="N22" s="17" t="s">
        <v>88</v>
      </c>
      <c r="O22" s="17" t="s">
        <v>88</v>
      </c>
      <c r="P22" s="17" t="s">
        <v>215</v>
      </c>
      <c r="Q22" s="17" t="s">
        <v>90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21</v>
      </c>
      <c r="Z22" s="17">
        <v>21.231086250161798</v>
      </c>
      <c r="AA22" s="16"/>
      <c r="AB22" s="16"/>
      <c r="AC22" s="16"/>
      <c r="AD22" s="16"/>
      <c r="AE22" s="16"/>
      <c r="AF22" s="16"/>
      <c r="AG22" s="16"/>
      <c r="AH22" s="17">
        <v>21.222204167163</v>
      </c>
      <c r="AI22" s="17">
        <v>21.231086250161798</v>
      </c>
      <c r="AJ22" s="17">
        <v>21.231086250161798</v>
      </c>
      <c r="AK22" s="17">
        <v>21.231086250161798</v>
      </c>
      <c r="AL22" s="17">
        <v>8.6682911496609501E-3</v>
      </c>
      <c r="AM22" s="17">
        <v>25.489344125147898</v>
      </c>
      <c r="AN22" s="17" t="s">
        <v>212</v>
      </c>
      <c r="AO22" s="17" t="s">
        <v>213</v>
      </c>
      <c r="AP22" s="17" t="s">
        <v>214</v>
      </c>
      <c r="AQ22" s="17" t="s">
        <v>87</v>
      </c>
      <c r="AR22" s="17" t="s">
        <v>88</v>
      </c>
      <c r="AS22" s="17" t="s">
        <v>88</v>
      </c>
      <c r="AT22" s="17" t="s">
        <v>215</v>
      </c>
      <c r="AU22" s="17" t="s">
        <v>90</v>
      </c>
      <c r="AV22" s="17">
        <v>2</v>
      </c>
      <c r="AW22" s="17">
        <v>1</v>
      </c>
      <c r="AX22" s="17" t="s">
        <v>210</v>
      </c>
      <c r="AY22" s="17" t="s">
        <v>61</v>
      </c>
      <c r="AZ22" s="16"/>
      <c r="BA22" s="17" t="s">
        <v>62</v>
      </c>
      <c r="BB22" s="17" t="s">
        <v>172</v>
      </c>
      <c r="BC22" s="17" t="s">
        <v>211</v>
      </c>
      <c r="BD22" s="16"/>
    </row>
    <row r="23" spans="1:56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17" t="s">
        <v>133</v>
      </c>
      <c r="H23" s="17" t="s">
        <v>64</v>
      </c>
      <c r="I23" s="17" t="s">
        <v>84</v>
      </c>
      <c r="J23" s="17" t="s">
        <v>64</v>
      </c>
      <c r="K23" s="17" t="s">
        <v>213</v>
      </c>
      <c r="L23" s="17" t="s">
        <v>214</v>
      </c>
      <c r="M23" s="17" t="s">
        <v>87</v>
      </c>
      <c r="N23" s="17" t="s">
        <v>88</v>
      </c>
      <c r="O23" s="17" t="s">
        <v>88</v>
      </c>
      <c r="P23" s="17" t="s">
        <v>216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18</v>
      </c>
      <c r="Z23" s="17">
        <v>25.500339667079999</v>
      </c>
      <c r="AA23" s="16"/>
      <c r="AB23" s="16"/>
      <c r="AC23" s="16"/>
      <c r="AD23" s="16"/>
      <c r="AE23" s="16"/>
      <c r="AF23" s="16"/>
      <c r="AG23" s="16"/>
      <c r="AH23" s="17">
        <v>25.4921831670217</v>
      </c>
      <c r="AI23" s="17">
        <v>25.500339667079999</v>
      </c>
      <c r="AJ23" s="17">
        <v>25.500339667079999</v>
      </c>
      <c r="AK23" s="17">
        <v>25.500339667079999</v>
      </c>
      <c r="AL23" s="17">
        <v>2.6618749834597102E-3</v>
      </c>
      <c r="AM23" s="17">
        <v>31.2730767079629</v>
      </c>
      <c r="AN23" s="17" t="s">
        <v>64</v>
      </c>
      <c r="AO23" s="17" t="s">
        <v>213</v>
      </c>
      <c r="AP23" s="17" t="s">
        <v>214</v>
      </c>
      <c r="AQ23" s="17" t="s">
        <v>87</v>
      </c>
      <c r="AR23" s="17" t="s">
        <v>88</v>
      </c>
      <c r="AS23" s="17" t="s">
        <v>88</v>
      </c>
      <c r="AT23" s="17" t="s">
        <v>216</v>
      </c>
      <c r="AU23" s="17" t="s">
        <v>90</v>
      </c>
      <c r="AV23" s="17">
        <v>2</v>
      </c>
      <c r="AW23" s="17">
        <v>1</v>
      </c>
      <c r="AX23" s="17" t="s">
        <v>210</v>
      </c>
      <c r="AY23" s="17" t="s">
        <v>61</v>
      </c>
      <c r="AZ23" s="16"/>
      <c r="BA23" s="17" t="s">
        <v>62</v>
      </c>
      <c r="BB23" s="17" t="s">
        <v>172</v>
      </c>
      <c r="BC23" s="17" t="s">
        <v>211</v>
      </c>
      <c r="BD23" s="16"/>
    </row>
    <row r="24" spans="1:56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17" t="s">
        <v>114</v>
      </c>
      <c r="H24" s="17" t="s">
        <v>73</v>
      </c>
      <c r="I24" s="17" t="s">
        <v>84</v>
      </c>
      <c r="J24" s="17" t="s">
        <v>73</v>
      </c>
      <c r="K24" s="17" t="s">
        <v>217</v>
      </c>
      <c r="L24" s="17" t="s">
        <v>214</v>
      </c>
      <c r="M24" s="17" t="s">
        <v>87</v>
      </c>
      <c r="N24" s="17" t="s">
        <v>88</v>
      </c>
      <c r="O24" s="17" t="s">
        <v>88</v>
      </c>
      <c r="P24" s="17" t="s">
        <v>218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14</v>
      </c>
      <c r="Z24" s="17">
        <v>31.284249332966301</v>
      </c>
      <c r="AA24" s="16"/>
      <c r="AB24" s="16"/>
      <c r="AC24" s="16"/>
      <c r="AD24" s="16"/>
      <c r="AE24" s="16"/>
      <c r="AF24" s="16"/>
      <c r="AG24" s="16"/>
      <c r="AH24" s="17">
        <v>31.275096875149799</v>
      </c>
      <c r="AI24" s="17">
        <v>31.284249332966301</v>
      </c>
      <c r="AJ24" s="17">
        <v>31.284249332966301</v>
      </c>
      <c r="AK24" s="17">
        <v>31.284249332966301</v>
      </c>
      <c r="AL24" s="17">
        <v>1.92475016228855E-3</v>
      </c>
      <c r="AM24" s="17">
        <v>34.172802000073702</v>
      </c>
      <c r="AN24" s="17" t="s">
        <v>73</v>
      </c>
      <c r="AO24" s="17" t="s">
        <v>217</v>
      </c>
      <c r="AP24" s="17" t="s">
        <v>214</v>
      </c>
      <c r="AQ24" s="17" t="s">
        <v>87</v>
      </c>
      <c r="AR24" s="17" t="s">
        <v>88</v>
      </c>
      <c r="AS24" s="17" t="s">
        <v>88</v>
      </c>
      <c r="AT24" s="17" t="s">
        <v>218</v>
      </c>
      <c r="AU24" s="17" t="s">
        <v>90</v>
      </c>
      <c r="AV24" s="17">
        <v>2</v>
      </c>
      <c r="AW24" s="17">
        <v>1</v>
      </c>
      <c r="AX24" s="17" t="s">
        <v>210</v>
      </c>
      <c r="AY24" s="17" t="s">
        <v>61</v>
      </c>
      <c r="AZ24" s="16"/>
      <c r="BA24" s="17" t="s">
        <v>62</v>
      </c>
      <c r="BB24" s="17" t="s">
        <v>172</v>
      </c>
      <c r="BC24" s="17" t="s">
        <v>211</v>
      </c>
      <c r="BD24" s="16"/>
    </row>
    <row r="25" spans="1:56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17" t="s">
        <v>144</v>
      </c>
      <c r="H25" s="17" t="s">
        <v>81</v>
      </c>
      <c r="I25" s="17" t="s">
        <v>84</v>
      </c>
      <c r="J25" s="17" t="s">
        <v>81</v>
      </c>
      <c r="K25" s="17" t="s">
        <v>217</v>
      </c>
      <c r="L25" s="17" t="s">
        <v>214</v>
      </c>
      <c r="M25" s="17" t="s">
        <v>87</v>
      </c>
      <c r="N25" s="17" t="s">
        <v>88</v>
      </c>
      <c r="O25" s="17" t="s">
        <v>88</v>
      </c>
      <c r="P25" s="17" t="s">
        <v>219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4</v>
      </c>
      <c r="Z25" s="17">
        <v>34.184194792062002</v>
      </c>
      <c r="AA25" s="16"/>
      <c r="AB25" s="16"/>
      <c r="AC25" s="16"/>
      <c r="AD25" s="16"/>
      <c r="AE25" s="16"/>
      <c r="AF25" s="16"/>
      <c r="AG25" s="16"/>
      <c r="AH25" s="17">
        <v>34.174575583078003</v>
      </c>
      <c r="AI25" s="17">
        <v>34.184194792062002</v>
      </c>
      <c r="AJ25" s="17">
        <v>34.184194792062002</v>
      </c>
      <c r="AK25" s="17">
        <v>34.184194792062002</v>
      </c>
      <c r="AL25" s="17">
        <v>1.6812919639051E-3</v>
      </c>
      <c r="AM25" s="17">
        <v>36.922296333126702</v>
      </c>
      <c r="AN25" s="17" t="s">
        <v>81</v>
      </c>
      <c r="AO25" s="17" t="s">
        <v>217</v>
      </c>
      <c r="AP25" s="17" t="s">
        <v>214</v>
      </c>
      <c r="AQ25" s="17" t="s">
        <v>87</v>
      </c>
      <c r="AR25" s="17" t="s">
        <v>88</v>
      </c>
      <c r="AS25" s="17" t="s">
        <v>88</v>
      </c>
      <c r="AT25" s="17" t="s">
        <v>219</v>
      </c>
      <c r="AU25" s="17" t="s">
        <v>90</v>
      </c>
      <c r="AV25" s="17">
        <v>2</v>
      </c>
      <c r="AW25" s="17">
        <v>1</v>
      </c>
      <c r="AX25" s="17" t="s">
        <v>210</v>
      </c>
      <c r="AY25" s="17" t="s">
        <v>61</v>
      </c>
      <c r="AZ25" s="16"/>
      <c r="BA25" s="17" t="s">
        <v>62</v>
      </c>
      <c r="BB25" s="17" t="s">
        <v>172</v>
      </c>
      <c r="BC25" s="17" t="s">
        <v>211</v>
      </c>
      <c r="BD25" s="16"/>
    </row>
    <row r="26" spans="1:56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152</v>
      </c>
      <c r="H26" s="17" t="s">
        <v>153</v>
      </c>
      <c r="I26" s="17" t="s">
        <v>96</v>
      </c>
      <c r="J26" s="17" t="s">
        <v>153</v>
      </c>
      <c r="K26" s="17" t="s">
        <v>217</v>
      </c>
      <c r="L26" s="17" t="s">
        <v>214</v>
      </c>
      <c r="M26" s="17" t="s">
        <v>87</v>
      </c>
      <c r="N26" s="17" t="s">
        <v>88</v>
      </c>
      <c r="O26" s="17" t="s">
        <v>88</v>
      </c>
      <c r="P26" s="17" t="s">
        <v>220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20</v>
      </c>
      <c r="Z26" s="17">
        <v>36.934214957989802</v>
      </c>
      <c r="AA26" s="16"/>
      <c r="AB26" s="16"/>
      <c r="AC26" s="16"/>
      <c r="AD26" s="16"/>
      <c r="AE26" s="16"/>
      <c r="AF26" s="16"/>
      <c r="AG26" s="16"/>
      <c r="AH26" s="17">
        <v>36.924680999945899</v>
      </c>
      <c r="AI26" s="17">
        <v>36.934214957989802</v>
      </c>
      <c r="AJ26" s="17">
        <v>36.934214957989802</v>
      </c>
      <c r="AK26" s="17">
        <v>36.934214957989802</v>
      </c>
      <c r="AL26" s="17">
        <v>2.2744168527424301E-3</v>
      </c>
      <c r="AM26" s="17">
        <v>38.805375500116497</v>
      </c>
      <c r="AN26" s="17" t="s">
        <v>153</v>
      </c>
      <c r="AO26" s="17" t="s">
        <v>217</v>
      </c>
      <c r="AP26" s="17" t="s">
        <v>214</v>
      </c>
      <c r="AQ26" s="17" t="s">
        <v>87</v>
      </c>
      <c r="AR26" s="17" t="s">
        <v>88</v>
      </c>
      <c r="AS26" s="17" t="s">
        <v>88</v>
      </c>
      <c r="AT26" s="17" t="s">
        <v>220</v>
      </c>
      <c r="AU26" s="17" t="s">
        <v>90</v>
      </c>
      <c r="AV26" s="17">
        <v>2</v>
      </c>
      <c r="AW26" s="17">
        <v>1</v>
      </c>
      <c r="AX26" s="17" t="s">
        <v>210</v>
      </c>
      <c r="AY26" s="17" t="s">
        <v>61</v>
      </c>
      <c r="AZ26" s="16"/>
      <c r="BA26" s="17" t="s">
        <v>62</v>
      </c>
      <c r="BB26" s="17" t="s">
        <v>172</v>
      </c>
      <c r="BC26" s="17" t="s">
        <v>211</v>
      </c>
      <c r="BD26" s="16"/>
    </row>
    <row r="27" spans="1:56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131</v>
      </c>
      <c r="H27" s="17" t="s">
        <v>76</v>
      </c>
      <c r="I27" s="17" t="s">
        <v>84</v>
      </c>
      <c r="J27" s="17" t="s">
        <v>76</v>
      </c>
      <c r="K27" s="17" t="s">
        <v>217</v>
      </c>
      <c r="L27" s="17" t="s">
        <v>214</v>
      </c>
      <c r="M27" s="17" t="s">
        <v>87</v>
      </c>
      <c r="N27" s="17" t="s">
        <v>88</v>
      </c>
      <c r="O27" s="17" t="s">
        <v>88</v>
      </c>
      <c r="P27" s="17" t="s">
        <v>221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6</v>
      </c>
      <c r="Z27" s="17">
        <v>38.817035250132903</v>
      </c>
      <c r="AA27" s="16"/>
      <c r="AB27" s="16"/>
      <c r="AC27" s="16"/>
      <c r="AD27" s="16"/>
      <c r="AE27" s="16"/>
      <c r="AF27" s="16"/>
      <c r="AG27" s="16"/>
      <c r="AH27" s="17">
        <v>38.807708207983502</v>
      </c>
      <c r="AI27" s="17">
        <v>38.817035250132903</v>
      </c>
      <c r="AJ27" s="17">
        <v>38.817035250132903</v>
      </c>
      <c r="AK27" s="17">
        <v>38.817035250132903</v>
      </c>
      <c r="AL27" s="17">
        <v>2.2356249392032602E-3</v>
      </c>
      <c r="AM27" s="17">
        <v>40.556483542080997</v>
      </c>
      <c r="AN27" s="17" t="s">
        <v>76</v>
      </c>
      <c r="AO27" s="17" t="s">
        <v>217</v>
      </c>
      <c r="AP27" s="17" t="s">
        <v>214</v>
      </c>
      <c r="AQ27" s="17" t="s">
        <v>87</v>
      </c>
      <c r="AR27" s="17" t="s">
        <v>88</v>
      </c>
      <c r="AS27" s="17" t="s">
        <v>88</v>
      </c>
      <c r="AT27" s="17" t="s">
        <v>221</v>
      </c>
      <c r="AU27" s="17" t="s">
        <v>90</v>
      </c>
      <c r="AV27" s="17">
        <v>2</v>
      </c>
      <c r="AW27" s="17">
        <v>1</v>
      </c>
      <c r="AX27" s="17" t="s">
        <v>210</v>
      </c>
      <c r="AY27" s="17" t="s">
        <v>61</v>
      </c>
      <c r="AZ27" s="16"/>
      <c r="BA27" s="17" t="s">
        <v>62</v>
      </c>
      <c r="BB27" s="17" t="s">
        <v>172</v>
      </c>
      <c r="BC27" s="17" t="s">
        <v>211</v>
      </c>
      <c r="BD27" s="16"/>
    </row>
    <row r="28" spans="1:56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17" t="s">
        <v>164</v>
      </c>
      <c r="H28" s="17" t="s">
        <v>80</v>
      </c>
      <c r="I28" s="17" t="s">
        <v>84</v>
      </c>
      <c r="J28" s="17" t="s">
        <v>80</v>
      </c>
      <c r="K28" s="17" t="s">
        <v>217</v>
      </c>
      <c r="L28" s="17" t="s">
        <v>214</v>
      </c>
      <c r="M28" s="17" t="s">
        <v>87</v>
      </c>
      <c r="N28" s="17" t="s">
        <v>88</v>
      </c>
      <c r="O28" s="17" t="s">
        <v>88</v>
      </c>
      <c r="P28" s="17" t="s">
        <v>222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15</v>
      </c>
      <c r="Z28" s="17">
        <v>40.567573667038197</v>
      </c>
      <c r="AA28" s="16"/>
      <c r="AB28" s="16"/>
      <c r="AC28" s="16"/>
      <c r="AD28" s="16"/>
      <c r="AE28" s="16"/>
      <c r="AF28" s="16"/>
      <c r="AG28" s="16"/>
      <c r="AH28" s="17">
        <v>40.558665125165099</v>
      </c>
      <c r="AI28" s="17">
        <v>40.567573667038197</v>
      </c>
      <c r="AJ28" s="17">
        <v>40.567573667038197</v>
      </c>
      <c r="AK28" s="17">
        <v>40.567573667038197</v>
      </c>
      <c r="AL28" s="17">
        <v>2.07050004974008E-3</v>
      </c>
      <c r="AM28" s="17">
        <v>44.156038291985197</v>
      </c>
      <c r="AN28" s="17" t="s">
        <v>80</v>
      </c>
      <c r="AO28" s="17" t="s">
        <v>217</v>
      </c>
      <c r="AP28" s="17" t="s">
        <v>214</v>
      </c>
      <c r="AQ28" s="17" t="s">
        <v>87</v>
      </c>
      <c r="AR28" s="17" t="s">
        <v>88</v>
      </c>
      <c r="AS28" s="17" t="s">
        <v>88</v>
      </c>
      <c r="AT28" s="17" t="s">
        <v>222</v>
      </c>
      <c r="AU28" s="17" t="s">
        <v>90</v>
      </c>
      <c r="AV28" s="17">
        <v>2</v>
      </c>
      <c r="AW28" s="17">
        <v>1</v>
      </c>
      <c r="AX28" s="17" t="s">
        <v>210</v>
      </c>
      <c r="AY28" s="17" t="s">
        <v>61</v>
      </c>
      <c r="AZ28" s="16"/>
      <c r="BA28" s="17" t="s">
        <v>62</v>
      </c>
      <c r="BB28" s="17" t="s">
        <v>172</v>
      </c>
      <c r="BC28" s="17" t="s">
        <v>211</v>
      </c>
      <c r="BD28" s="16"/>
    </row>
    <row r="29" spans="1:56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125</v>
      </c>
      <c r="H29" s="22" t="s">
        <v>65</v>
      </c>
      <c r="I29" s="22" t="s">
        <v>84</v>
      </c>
      <c r="J29" s="23"/>
      <c r="K29" s="17" t="s">
        <v>217</v>
      </c>
      <c r="L29" s="17" t="s">
        <v>214</v>
      </c>
      <c r="M29" s="17" t="s">
        <v>87</v>
      </c>
      <c r="N29" s="17" t="s">
        <v>88</v>
      </c>
      <c r="O29" s="17" t="s">
        <v>88</v>
      </c>
      <c r="P29" s="17" t="s">
        <v>223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11</v>
      </c>
      <c r="Z29" s="17">
        <v>44.167493999935701</v>
      </c>
      <c r="AA29" s="16"/>
      <c r="AB29" s="16"/>
      <c r="AC29" s="16"/>
      <c r="AD29" s="16"/>
      <c r="AE29" s="16"/>
      <c r="AF29" s="16"/>
      <c r="AG29" s="16"/>
      <c r="AH29" s="17">
        <v>44.1580798749346</v>
      </c>
      <c r="AI29" s="17">
        <v>44.167493999935701</v>
      </c>
      <c r="AJ29" s="17">
        <v>44.167493999935701</v>
      </c>
      <c r="AK29" s="17">
        <v>44.167493999935701</v>
      </c>
      <c r="AL29" s="17">
        <v>1.93458306603134E-3</v>
      </c>
      <c r="AM29" s="17">
        <v>51.288312375079798</v>
      </c>
      <c r="AN29" s="16"/>
      <c r="AO29" s="17" t="s">
        <v>217</v>
      </c>
      <c r="AP29" s="17" t="s">
        <v>214</v>
      </c>
      <c r="AQ29" s="17" t="s">
        <v>87</v>
      </c>
      <c r="AR29" s="17" t="s">
        <v>88</v>
      </c>
      <c r="AS29" s="17" t="s">
        <v>88</v>
      </c>
      <c r="AT29" s="17" t="s">
        <v>223</v>
      </c>
      <c r="AU29" s="17" t="s">
        <v>90</v>
      </c>
      <c r="AV29" s="17">
        <v>2</v>
      </c>
      <c r="AW29" s="17">
        <v>1</v>
      </c>
      <c r="AX29" s="17" t="s">
        <v>210</v>
      </c>
      <c r="AY29" s="17" t="s">
        <v>61</v>
      </c>
      <c r="AZ29" s="16"/>
      <c r="BA29" s="17" t="s">
        <v>62</v>
      </c>
      <c r="BB29" s="17" t="s">
        <v>172</v>
      </c>
      <c r="BC29" s="17" t="s">
        <v>211</v>
      </c>
      <c r="BD29" s="16"/>
    </row>
    <row r="30" spans="1:56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17" t="s">
        <v>129</v>
      </c>
      <c r="H30" s="17" t="s">
        <v>72</v>
      </c>
      <c r="I30" s="17" t="s">
        <v>84</v>
      </c>
      <c r="J30" s="17" t="s">
        <v>72</v>
      </c>
      <c r="K30" s="17" t="s">
        <v>217</v>
      </c>
      <c r="L30" s="17" t="s">
        <v>214</v>
      </c>
      <c r="M30" s="17" t="s">
        <v>87</v>
      </c>
      <c r="N30" s="17" t="s">
        <v>88</v>
      </c>
      <c r="O30" s="17" t="s">
        <v>88</v>
      </c>
      <c r="P30" s="17" t="s">
        <v>224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0</v>
      </c>
      <c r="Z30" s="17">
        <v>51.297077374998501</v>
      </c>
      <c r="AA30" s="16"/>
      <c r="AB30" s="16"/>
      <c r="AC30" s="16"/>
      <c r="AD30" s="16"/>
      <c r="AE30" s="16"/>
      <c r="AF30" s="16"/>
      <c r="AG30" s="16"/>
      <c r="AH30" s="17">
        <v>51.289841708028703</v>
      </c>
      <c r="AI30" s="17">
        <v>51.297077374998501</v>
      </c>
      <c r="AJ30" s="17">
        <v>51.297077374998501</v>
      </c>
      <c r="AK30" s="17">
        <v>51.297077374998501</v>
      </c>
      <c r="AL30" s="17">
        <v>1.4378749765455699E-3</v>
      </c>
      <c r="AM30" s="17">
        <v>52.923018667148398</v>
      </c>
      <c r="AN30" s="17" t="s">
        <v>72</v>
      </c>
      <c r="AO30" s="17" t="s">
        <v>217</v>
      </c>
      <c r="AP30" s="17" t="s">
        <v>214</v>
      </c>
      <c r="AQ30" s="17" t="s">
        <v>87</v>
      </c>
      <c r="AR30" s="17" t="s">
        <v>88</v>
      </c>
      <c r="AS30" s="17" t="s">
        <v>88</v>
      </c>
      <c r="AT30" s="17" t="s">
        <v>224</v>
      </c>
      <c r="AU30" s="17" t="s">
        <v>90</v>
      </c>
      <c r="AV30" s="17">
        <v>2</v>
      </c>
      <c r="AW30" s="17">
        <v>1</v>
      </c>
      <c r="AX30" s="17" t="s">
        <v>210</v>
      </c>
      <c r="AY30" s="17" t="s">
        <v>61</v>
      </c>
      <c r="AZ30" s="16"/>
      <c r="BA30" s="17" t="s">
        <v>62</v>
      </c>
      <c r="BB30" s="17" t="s">
        <v>172</v>
      </c>
      <c r="BC30" s="17" t="s">
        <v>211</v>
      </c>
      <c r="BD30" s="16"/>
    </row>
    <row r="31" spans="1:56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142</v>
      </c>
      <c r="H31" s="17" t="s">
        <v>67</v>
      </c>
      <c r="I31" s="17" t="s">
        <v>84</v>
      </c>
      <c r="J31" s="17" t="s">
        <v>67</v>
      </c>
      <c r="K31" s="17" t="s">
        <v>217</v>
      </c>
      <c r="L31" s="17" t="s">
        <v>214</v>
      </c>
      <c r="M31" s="17" t="s">
        <v>87</v>
      </c>
      <c r="N31" s="17" t="s">
        <v>88</v>
      </c>
      <c r="O31" s="17" t="s">
        <v>88</v>
      </c>
      <c r="P31" s="17" t="s">
        <v>225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16</v>
      </c>
      <c r="Z31" s="17">
        <v>52.934147292049602</v>
      </c>
      <c r="AA31" s="16"/>
      <c r="AB31" s="16"/>
      <c r="AC31" s="16"/>
      <c r="AD31" s="16"/>
      <c r="AE31" s="16"/>
      <c r="AF31" s="16"/>
      <c r="AG31" s="16"/>
      <c r="AH31" s="17">
        <v>52.9253845419735</v>
      </c>
      <c r="AI31" s="17">
        <v>52.934147292049602</v>
      </c>
      <c r="AJ31" s="17">
        <v>52.934147292049602</v>
      </c>
      <c r="AK31" s="17">
        <v>52.934147292049602</v>
      </c>
      <c r="AL31" s="17">
        <v>2.2749169729649999E-3</v>
      </c>
      <c r="AM31" s="17">
        <v>57.188641667133197</v>
      </c>
      <c r="AN31" s="17" t="s">
        <v>67</v>
      </c>
      <c r="AO31" s="17" t="s">
        <v>217</v>
      </c>
      <c r="AP31" s="17" t="s">
        <v>214</v>
      </c>
      <c r="AQ31" s="17" t="s">
        <v>87</v>
      </c>
      <c r="AR31" s="17" t="s">
        <v>88</v>
      </c>
      <c r="AS31" s="17" t="s">
        <v>88</v>
      </c>
      <c r="AT31" s="17" t="s">
        <v>225</v>
      </c>
      <c r="AU31" s="17" t="s">
        <v>90</v>
      </c>
      <c r="AV31" s="17">
        <v>2</v>
      </c>
      <c r="AW31" s="17">
        <v>1</v>
      </c>
      <c r="AX31" s="17" t="s">
        <v>210</v>
      </c>
      <c r="AY31" s="17" t="s">
        <v>61</v>
      </c>
      <c r="AZ31" s="16"/>
      <c r="BA31" s="17" t="s">
        <v>62</v>
      </c>
      <c r="BB31" s="17" t="s">
        <v>172</v>
      </c>
      <c r="BC31" s="17" t="s">
        <v>211</v>
      </c>
      <c r="BD31" s="16"/>
    </row>
    <row r="32" spans="1:56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94</v>
      </c>
      <c r="H32" s="17" t="s">
        <v>95</v>
      </c>
      <c r="I32" s="17" t="s">
        <v>96</v>
      </c>
      <c r="J32" s="17" t="s">
        <v>95</v>
      </c>
      <c r="K32" s="17" t="s">
        <v>217</v>
      </c>
      <c r="L32" s="17" t="s">
        <v>214</v>
      </c>
      <c r="M32" s="17" t="s">
        <v>87</v>
      </c>
      <c r="N32" s="17" t="s">
        <v>88</v>
      </c>
      <c r="O32" s="17" t="s">
        <v>88</v>
      </c>
      <c r="P32" s="17" t="s">
        <v>226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22</v>
      </c>
      <c r="Z32" s="17">
        <v>57.200349916936801</v>
      </c>
      <c r="AA32" s="16"/>
      <c r="AB32" s="16"/>
      <c r="AC32" s="16"/>
      <c r="AD32" s="16"/>
      <c r="AE32" s="16"/>
      <c r="AF32" s="16"/>
      <c r="AG32" s="16"/>
      <c r="AH32" s="17">
        <v>57.190640124958001</v>
      </c>
      <c r="AI32" s="17">
        <v>57.200349916936801</v>
      </c>
      <c r="AJ32" s="17">
        <v>57.200349916936801</v>
      </c>
      <c r="AK32" s="17">
        <v>57.200349916936801</v>
      </c>
      <c r="AL32" s="17">
        <v>1.8990000244229999E-3</v>
      </c>
      <c r="AM32" s="17">
        <v>62.822941167047297</v>
      </c>
      <c r="AN32" s="17" t="s">
        <v>95</v>
      </c>
      <c r="AO32" s="17" t="s">
        <v>217</v>
      </c>
      <c r="AP32" s="17" t="s">
        <v>214</v>
      </c>
      <c r="AQ32" s="17" t="s">
        <v>87</v>
      </c>
      <c r="AR32" s="17" t="s">
        <v>88</v>
      </c>
      <c r="AS32" s="17" t="s">
        <v>88</v>
      </c>
      <c r="AT32" s="17" t="s">
        <v>226</v>
      </c>
      <c r="AU32" s="17" t="s">
        <v>90</v>
      </c>
      <c r="AV32" s="17">
        <v>2</v>
      </c>
      <c r="AW32" s="17">
        <v>1</v>
      </c>
      <c r="AX32" s="17" t="s">
        <v>210</v>
      </c>
      <c r="AY32" s="17" t="s">
        <v>61</v>
      </c>
      <c r="AZ32" s="16"/>
      <c r="BA32" s="17" t="s">
        <v>62</v>
      </c>
      <c r="BB32" s="17" t="s">
        <v>172</v>
      </c>
      <c r="BC32" s="17" t="s">
        <v>211</v>
      </c>
      <c r="BD32" s="16"/>
    </row>
    <row r="33" spans="1:56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25" t="s">
        <v>148</v>
      </c>
      <c r="H33" s="25" t="s">
        <v>74</v>
      </c>
      <c r="I33" s="25" t="s">
        <v>84</v>
      </c>
      <c r="J33" s="25" t="s">
        <v>227</v>
      </c>
      <c r="K33" s="17" t="s">
        <v>228</v>
      </c>
      <c r="L33" s="17" t="s">
        <v>229</v>
      </c>
      <c r="M33" s="17" t="s">
        <v>87</v>
      </c>
      <c r="N33" s="17" t="s">
        <v>88</v>
      </c>
      <c r="O33" s="17" t="s">
        <v>88</v>
      </c>
      <c r="P33" s="17" t="s">
        <v>230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13</v>
      </c>
      <c r="Z33" s="17">
        <v>62.834519833093502</v>
      </c>
      <c r="AA33" s="16"/>
      <c r="AB33" s="16"/>
      <c r="AC33" s="16"/>
      <c r="AD33" s="16"/>
      <c r="AE33" s="16"/>
      <c r="AF33" s="16"/>
      <c r="AG33" s="16"/>
      <c r="AH33" s="17">
        <v>62.825592166977003</v>
      </c>
      <c r="AI33" s="17">
        <v>62.834519833093502</v>
      </c>
      <c r="AJ33" s="17">
        <v>62.834519833093502</v>
      </c>
      <c r="AK33" s="17">
        <v>62.834519833093502</v>
      </c>
      <c r="AL33" s="17">
        <v>2.3863750975579002E-3</v>
      </c>
      <c r="AM33" s="17">
        <v>69.922672291984796</v>
      </c>
      <c r="AN33" s="17" t="s">
        <v>227</v>
      </c>
      <c r="AO33" s="17" t="s">
        <v>228</v>
      </c>
      <c r="AP33" s="17" t="s">
        <v>229</v>
      </c>
      <c r="AQ33" s="17" t="s">
        <v>87</v>
      </c>
      <c r="AR33" s="17" t="s">
        <v>88</v>
      </c>
      <c r="AS33" s="17" t="s">
        <v>88</v>
      </c>
      <c r="AT33" s="17" t="s">
        <v>230</v>
      </c>
      <c r="AU33" s="17" t="s">
        <v>90</v>
      </c>
      <c r="AV33" s="17">
        <v>2</v>
      </c>
      <c r="AW33" s="17">
        <v>1</v>
      </c>
      <c r="AX33" s="17" t="s">
        <v>210</v>
      </c>
      <c r="AY33" s="17" t="s">
        <v>61</v>
      </c>
      <c r="AZ33" s="16"/>
      <c r="BA33" s="17" t="s">
        <v>62</v>
      </c>
      <c r="BB33" s="17" t="s">
        <v>172</v>
      </c>
      <c r="BC33" s="17" t="s">
        <v>211</v>
      </c>
      <c r="BD33" s="16"/>
    </row>
    <row r="34" spans="1:56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91</v>
      </c>
      <c r="H34" s="17" t="s">
        <v>71</v>
      </c>
      <c r="I34" s="17" t="s">
        <v>84</v>
      </c>
      <c r="J34" s="17" t="s">
        <v>71</v>
      </c>
      <c r="K34" s="17" t="s">
        <v>231</v>
      </c>
      <c r="L34" s="17" t="s">
        <v>162</v>
      </c>
      <c r="M34" s="17" t="s">
        <v>87</v>
      </c>
      <c r="N34" s="17" t="s">
        <v>88</v>
      </c>
      <c r="O34" s="17" t="s">
        <v>88</v>
      </c>
      <c r="P34" s="17" t="s">
        <v>232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19</v>
      </c>
      <c r="Z34" s="17">
        <v>69.933747041970506</v>
      </c>
      <c r="AA34" s="16"/>
      <c r="AB34" s="16"/>
      <c r="AC34" s="16"/>
      <c r="AD34" s="16"/>
      <c r="AE34" s="16"/>
      <c r="AF34" s="16"/>
      <c r="AG34" s="16"/>
      <c r="AH34" s="17">
        <v>69.925368458032594</v>
      </c>
      <c r="AI34" s="17">
        <v>69.933747041970506</v>
      </c>
      <c r="AJ34" s="17">
        <v>69.933747041970506</v>
      </c>
      <c r="AK34" s="17">
        <v>69.933747041970506</v>
      </c>
      <c r="AL34" s="17">
        <v>2.6032910682260999E-3</v>
      </c>
      <c r="AM34" s="17">
        <v>77.023574792081504</v>
      </c>
      <c r="AN34" s="17" t="s">
        <v>71</v>
      </c>
      <c r="AO34" s="17" t="s">
        <v>231</v>
      </c>
      <c r="AP34" s="17" t="s">
        <v>162</v>
      </c>
      <c r="AQ34" s="17" t="s">
        <v>87</v>
      </c>
      <c r="AR34" s="17" t="s">
        <v>88</v>
      </c>
      <c r="AS34" s="17" t="s">
        <v>88</v>
      </c>
      <c r="AT34" s="17" t="s">
        <v>232</v>
      </c>
      <c r="AU34" s="17" t="s">
        <v>90</v>
      </c>
      <c r="AV34" s="17">
        <v>2</v>
      </c>
      <c r="AW34" s="17">
        <v>1</v>
      </c>
      <c r="AX34" s="17" t="s">
        <v>210</v>
      </c>
      <c r="AY34" s="17" t="s">
        <v>61</v>
      </c>
      <c r="AZ34" s="16"/>
      <c r="BA34" s="17" t="s">
        <v>62</v>
      </c>
      <c r="BB34" s="17" t="s">
        <v>172</v>
      </c>
      <c r="BC34" s="17" t="s">
        <v>211</v>
      </c>
      <c r="BD34" s="16"/>
    </row>
    <row r="35" spans="1:56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120</v>
      </c>
      <c r="H35" s="22" t="s">
        <v>121</v>
      </c>
      <c r="I35" s="22" t="s">
        <v>96</v>
      </c>
      <c r="J35" s="23"/>
      <c r="K35" s="17" t="s">
        <v>233</v>
      </c>
      <c r="L35" s="17" t="s">
        <v>234</v>
      </c>
      <c r="M35" s="17" t="s">
        <v>87</v>
      </c>
      <c r="N35" s="17" t="s">
        <v>88</v>
      </c>
      <c r="O35" s="17" t="s">
        <v>88</v>
      </c>
      <c r="P35" s="17" t="s">
        <v>235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24</v>
      </c>
      <c r="Z35" s="17">
        <v>77.034114292124301</v>
      </c>
      <c r="AA35" s="16"/>
      <c r="AB35" s="16"/>
      <c r="AC35" s="16"/>
      <c r="AD35" s="16"/>
      <c r="AE35" s="16"/>
      <c r="AF35" s="16"/>
      <c r="AG35" s="16"/>
      <c r="AH35" s="17">
        <v>77.025584458140699</v>
      </c>
      <c r="AI35" s="17">
        <v>77.034114292124301</v>
      </c>
      <c r="AJ35" s="17">
        <v>77.034114292124301</v>
      </c>
      <c r="AK35" s="17">
        <v>77.034114292124301</v>
      </c>
      <c r="AL35" s="17">
        <v>1.90720800310373E-3</v>
      </c>
      <c r="AM35" s="17">
        <v>80.072080167010398</v>
      </c>
      <c r="AN35" s="16"/>
      <c r="AO35" s="17" t="s">
        <v>233</v>
      </c>
      <c r="AP35" s="17" t="s">
        <v>234</v>
      </c>
      <c r="AQ35" s="17" t="s">
        <v>87</v>
      </c>
      <c r="AR35" s="17" t="s">
        <v>88</v>
      </c>
      <c r="AS35" s="17" t="s">
        <v>88</v>
      </c>
      <c r="AT35" s="17" t="s">
        <v>235</v>
      </c>
      <c r="AU35" s="17" t="s">
        <v>90</v>
      </c>
      <c r="AV35" s="17">
        <v>2</v>
      </c>
      <c r="AW35" s="17">
        <v>1</v>
      </c>
      <c r="AX35" s="17" t="s">
        <v>210</v>
      </c>
      <c r="AY35" s="17" t="s">
        <v>61</v>
      </c>
      <c r="AZ35" s="16"/>
      <c r="BA35" s="17" t="s">
        <v>62</v>
      </c>
      <c r="BB35" s="17" t="s">
        <v>172</v>
      </c>
      <c r="BC35" s="17" t="s">
        <v>211</v>
      </c>
      <c r="BD35" s="16"/>
    </row>
    <row r="36" spans="1:56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17" t="s">
        <v>104</v>
      </c>
      <c r="H36" s="17" t="s">
        <v>70</v>
      </c>
      <c r="I36" s="17" t="s">
        <v>84</v>
      </c>
      <c r="J36" s="17" t="s">
        <v>70</v>
      </c>
      <c r="K36" s="17" t="s">
        <v>236</v>
      </c>
      <c r="L36" s="17" t="s">
        <v>237</v>
      </c>
      <c r="M36" s="17" t="s">
        <v>87</v>
      </c>
      <c r="N36" s="17" t="s">
        <v>88</v>
      </c>
      <c r="O36" s="17" t="s">
        <v>88</v>
      </c>
      <c r="P36" s="17" t="s">
        <v>238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2</v>
      </c>
      <c r="Z36" s="17">
        <v>80.082200916949702</v>
      </c>
      <c r="AA36" s="16"/>
      <c r="AB36" s="16"/>
      <c r="AC36" s="16"/>
      <c r="AD36" s="16"/>
      <c r="AE36" s="16"/>
      <c r="AF36" s="16"/>
      <c r="AG36" s="16"/>
      <c r="AH36" s="17">
        <v>80.074124207953005</v>
      </c>
      <c r="AI36" s="17">
        <v>80.082200916949702</v>
      </c>
      <c r="AJ36" s="17">
        <v>80.082200916949702</v>
      </c>
      <c r="AK36" s="17">
        <v>80.082200916949702</v>
      </c>
      <c r="AL36" s="17">
        <v>1.9692080095410299E-3</v>
      </c>
      <c r="AM36" s="17">
        <v>82.921716917073397</v>
      </c>
      <c r="AN36" s="17" t="s">
        <v>70</v>
      </c>
      <c r="AO36" s="17" t="s">
        <v>236</v>
      </c>
      <c r="AP36" s="17" t="s">
        <v>237</v>
      </c>
      <c r="AQ36" s="17" t="s">
        <v>87</v>
      </c>
      <c r="AR36" s="17" t="s">
        <v>88</v>
      </c>
      <c r="AS36" s="17" t="s">
        <v>88</v>
      </c>
      <c r="AT36" s="17" t="s">
        <v>238</v>
      </c>
      <c r="AU36" s="17" t="s">
        <v>90</v>
      </c>
      <c r="AV36" s="17">
        <v>2</v>
      </c>
      <c r="AW36" s="17">
        <v>1</v>
      </c>
      <c r="AX36" s="17" t="s">
        <v>210</v>
      </c>
      <c r="AY36" s="17" t="s">
        <v>61</v>
      </c>
      <c r="AZ36" s="16"/>
      <c r="BA36" s="17" t="s">
        <v>62</v>
      </c>
      <c r="BB36" s="17" t="s">
        <v>172</v>
      </c>
      <c r="BC36" s="17" t="s">
        <v>211</v>
      </c>
      <c r="BD36" s="16"/>
    </row>
    <row r="37" spans="1:56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17" t="s">
        <v>83</v>
      </c>
      <c r="H37" s="17" t="s">
        <v>82</v>
      </c>
      <c r="I37" s="17" t="s">
        <v>84</v>
      </c>
      <c r="J37" s="17" t="s">
        <v>82</v>
      </c>
      <c r="K37" s="17" t="s">
        <v>236</v>
      </c>
      <c r="L37" s="17" t="s">
        <v>237</v>
      </c>
      <c r="M37" s="17" t="s">
        <v>87</v>
      </c>
      <c r="N37" s="17" t="s">
        <v>88</v>
      </c>
      <c r="O37" s="17" t="s">
        <v>88</v>
      </c>
      <c r="P37" s="17" t="s">
        <v>239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9</v>
      </c>
      <c r="Z37" s="17">
        <v>82.933614042121903</v>
      </c>
      <c r="AA37" s="16"/>
      <c r="AB37" s="16"/>
      <c r="AC37" s="16"/>
      <c r="AD37" s="16"/>
      <c r="AE37" s="16"/>
      <c r="AF37" s="16"/>
      <c r="AG37" s="16"/>
      <c r="AH37" s="17">
        <v>82.923956625163598</v>
      </c>
      <c r="AI37" s="17">
        <v>82.933614042121903</v>
      </c>
      <c r="AJ37" s="17">
        <v>82.933614042121903</v>
      </c>
      <c r="AK37" s="17">
        <v>82.933614042121903</v>
      </c>
      <c r="AL37" s="17">
        <v>2.13916692882776E-3</v>
      </c>
      <c r="AM37" s="17">
        <v>85.006232042098404</v>
      </c>
      <c r="AN37" s="17" t="s">
        <v>82</v>
      </c>
      <c r="AO37" s="17" t="s">
        <v>236</v>
      </c>
      <c r="AP37" s="17" t="s">
        <v>237</v>
      </c>
      <c r="AQ37" s="17" t="s">
        <v>87</v>
      </c>
      <c r="AR37" s="17" t="s">
        <v>88</v>
      </c>
      <c r="AS37" s="17" t="s">
        <v>88</v>
      </c>
      <c r="AT37" s="17" t="s">
        <v>239</v>
      </c>
      <c r="AU37" s="17" t="s">
        <v>90</v>
      </c>
      <c r="AV37" s="17">
        <v>2</v>
      </c>
      <c r="AW37" s="17">
        <v>1</v>
      </c>
      <c r="AX37" s="17" t="s">
        <v>210</v>
      </c>
      <c r="AY37" s="17" t="s">
        <v>61</v>
      </c>
      <c r="AZ37" s="16"/>
      <c r="BA37" s="17" t="s">
        <v>62</v>
      </c>
      <c r="BB37" s="17" t="s">
        <v>172</v>
      </c>
      <c r="BC37" s="17" t="s">
        <v>211</v>
      </c>
      <c r="BD37" s="16"/>
    </row>
    <row r="38" spans="1:56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160</v>
      </c>
      <c r="H38" s="22" t="s">
        <v>79</v>
      </c>
      <c r="I38" s="22" t="s">
        <v>84</v>
      </c>
      <c r="J38" s="23"/>
      <c r="K38" s="17" t="s">
        <v>240</v>
      </c>
      <c r="L38" s="17" t="s">
        <v>241</v>
      </c>
      <c r="M38" s="17" t="s">
        <v>87</v>
      </c>
      <c r="N38" s="17" t="s">
        <v>88</v>
      </c>
      <c r="O38" s="17" t="s">
        <v>88</v>
      </c>
      <c r="P38" s="17" t="s">
        <v>242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3</v>
      </c>
      <c r="Z38" s="17">
        <v>85.017379916971606</v>
      </c>
      <c r="AA38" s="16"/>
      <c r="AB38" s="16"/>
      <c r="AC38" s="16"/>
      <c r="AD38" s="16"/>
      <c r="AE38" s="16"/>
      <c r="AF38" s="16"/>
      <c r="AG38" s="16"/>
      <c r="AH38" s="17">
        <v>85.008202499942897</v>
      </c>
      <c r="AI38" s="17">
        <v>85.017379916971606</v>
      </c>
      <c r="AJ38" s="17">
        <v>85.017379916971606</v>
      </c>
      <c r="AK38" s="17">
        <v>85.017379916971606</v>
      </c>
      <c r="AL38" s="17">
        <v>1.87833304516971E-3</v>
      </c>
      <c r="AM38" s="17">
        <v>90.522874542046296</v>
      </c>
      <c r="AN38" s="16"/>
      <c r="AO38" s="17" t="s">
        <v>240</v>
      </c>
      <c r="AP38" s="17" t="s">
        <v>241</v>
      </c>
      <c r="AQ38" s="17" t="s">
        <v>87</v>
      </c>
      <c r="AR38" s="17" t="s">
        <v>88</v>
      </c>
      <c r="AS38" s="17" t="s">
        <v>88</v>
      </c>
      <c r="AT38" s="17" t="s">
        <v>242</v>
      </c>
      <c r="AU38" s="17" t="s">
        <v>90</v>
      </c>
      <c r="AV38" s="17">
        <v>2</v>
      </c>
      <c r="AW38" s="17">
        <v>1</v>
      </c>
      <c r="AX38" s="17" t="s">
        <v>210</v>
      </c>
      <c r="AY38" s="17" t="s">
        <v>61</v>
      </c>
      <c r="AZ38" s="16"/>
      <c r="BA38" s="17" t="s">
        <v>62</v>
      </c>
      <c r="BB38" s="17" t="s">
        <v>172</v>
      </c>
      <c r="BC38" s="17" t="s">
        <v>211</v>
      </c>
      <c r="BD38" s="16"/>
    </row>
    <row r="39" spans="1:56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169</v>
      </c>
      <c r="H39" s="22" t="s">
        <v>77</v>
      </c>
      <c r="I39" s="22" t="s">
        <v>84</v>
      </c>
      <c r="J39" s="23"/>
      <c r="K39" s="17" t="s">
        <v>240</v>
      </c>
      <c r="L39" s="17" t="s">
        <v>241</v>
      </c>
      <c r="M39" s="17" t="s">
        <v>87</v>
      </c>
      <c r="N39" s="17" t="s">
        <v>88</v>
      </c>
      <c r="O39" s="17" t="s">
        <v>88</v>
      </c>
      <c r="P39" s="17" t="s">
        <v>243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10</v>
      </c>
      <c r="Z39" s="17">
        <v>90.532641917001499</v>
      </c>
      <c r="AA39" s="16"/>
      <c r="AB39" s="16"/>
      <c r="AC39" s="16"/>
      <c r="AD39" s="16"/>
      <c r="AE39" s="16"/>
      <c r="AF39" s="16"/>
      <c r="AG39" s="16"/>
      <c r="AH39" s="17">
        <v>90.524699208093807</v>
      </c>
      <c r="AI39" s="17">
        <v>90.532641917001499</v>
      </c>
      <c r="AJ39" s="17">
        <v>90.532641917001499</v>
      </c>
      <c r="AK39" s="17">
        <v>90.532641917001499</v>
      </c>
      <c r="AL39" s="17">
        <v>1.7479171510785801E-3</v>
      </c>
      <c r="AM39" s="17">
        <v>94.022023207973703</v>
      </c>
      <c r="AN39" s="16"/>
      <c r="AO39" s="17" t="s">
        <v>240</v>
      </c>
      <c r="AP39" s="17" t="s">
        <v>241</v>
      </c>
      <c r="AQ39" s="17" t="s">
        <v>87</v>
      </c>
      <c r="AR39" s="17" t="s">
        <v>88</v>
      </c>
      <c r="AS39" s="17" t="s">
        <v>88</v>
      </c>
      <c r="AT39" s="17" t="s">
        <v>243</v>
      </c>
      <c r="AU39" s="17" t="s">
        <v>90</v>
      </c>
      <c r="AV39" s="17">
        <v>2</v>
      </c>
      <c r="AW39" s="17">
        <v>1</v>
      </c>
      <c r="AX39" s="17" t="s">
        <v>210</v>
      </c>
      <c r="AY39" s="17" t="s">
        <v>61</v>
      </c>
      <c r="AZ39" s="16"/>
      <c r="BA39" s="17" t="s">
        <v>62</v>
      </c>
      <c r="BB39" s="17" t="s">
        <v>172</v>
      </c>
      <c r="BC39" s="17" t="s">
        <v>211</v>
      </c>
      <c r="BD39" s="16"/>
    </row>
    <row r="40" spans="1:56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17" t="s">
        <v>157</v>
      </c>
      <c r="H40" s="17" t="s">
        <v>66</v>
      </c>
      <c r="I40" s="17" t="s">
        <v>84</v>
      </c>
      <c r="J40" s="17" t="s">
        <v>66</v>
      </c>
      <c r="K40" s="17" t="s">
        <v>240</v>
      </c>
      <c r="L40" s="17" t="s">
        <v>244</v>
      </c>
      <c r="M40" s="17" t="s">
        <v>87</v>
      </c>
      <c r="N40" s="17" t="s">
        <v>88</v>
      </c>
      <c r="O40" s="17" t="s">
        <v>88</v>
      </c>
      <c r="P40" s="17" t="s">
        <v>245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1</v>
      </c>
      <c r="Z40" s="17">
        <v>94.031985291978302</v>
      </c>
      <c r="AA40" s="16"/>
      <c r="AB40" s="16"/>
      <c r="AC40" s="16"/>
      <c r="AD40" s="16"/>
      <c r="AE40" s="16"/>
      <c r="AF40" s="16"/>
      <c r="AG40" s="16"/>
      <c r="AH40" s="17">
        <v>94.0238372080494</v>
      </c>
      <c r="AI40" s="17">
        <v>94.031985291978302</v>
      </c>
      <c r="AJ40" s="17">
        <v>94.031985291978302</v>
      </c>
      <c r="AK40" s="17">
        <v>94.031985291978302</v>
      </c>
      <c r="AL40" s="17">
        <v>1.73895806074142E-3</v>
      </c>
      <c r="AM40" s="17">
        <v>99.522573041962502</v>
      </c>
      <c r="AN40" s="17" t="s">
        <v>66</v>
      </c>
      <c r="AO40" s="17" t="s">
        <v>240</v>
      </c>
      <c r="AP40" s="17" t="s">
        <v>244</v>
      </c>
      <c r="AQ40" s="17" t="s">
        <v>87</v>
      </c>
      <c r="AR40" s="17" t="s">
        <v>88</v>
      </c>
      <c r="AS40" s="17" t="s">
        <v>88</v>
      </c>
      <c r="AT40" s="17" t="s">
        <v>245</v>
      </c>
      <c r="AU40" s="17" t="s">
        <v>90</v>
      </c>
      <c r="AV40" s="17">
        <v>2</v>
      </c>
      <c r="AW40" s="17">
        <v>1</v>
      </c>
      <c r="AX40" s="17" t="s">
        <v>210</v>
      </c>
      <c r="AY40" s="17" t="s">
        <v>61</v>
      </c>
      <c r="AZ40" s="16"/>
      <c r="BA40" s="17" t="s">
        <v>62</v>
      </c>
      <c r="BB40" s="17" t="s">
        <v>172</v>
      </c>
      <c r="BC40" s="17" t="s">
        <v>211</v>
      </c>
      <c r="BD40" s="16"/>
    </row>
    <row r="41" spans="1:56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17" t="s">
        <v>100</v>
      </c>
      <c r="H41" s="17" t="s">
        <v>68</v>
      </c>
      <c r="I41" s="17" t="s">
        <v>84</v>
      </c>
      <c r="J41" s="17" t="s">
        <v>68</v>
      </c>
      <c r="K41" s="17" t="s">
        <v>246</v>
      </c>
      <c r="L41" s="17" t="s">
        <v>247</v>
      </c>
      <c r="M41" s="17" t="s">
        <v>87</v>
      </c>
      <c r="N41" s="17" t="s">
        <v>88</v>
      </c>
      <c r="O41" s="17" t="s">
        <v>88</v>
      </c>
      <c r="P41" s="17" t="s">
        <v>248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17</v>
      </c>
      <c r="Z41" s="17">
        <v>99.534073916962399</v>
      </c>
      <c r="AA41" s="16"/>
      <c r="AB41" s="16"/>
      <c r="AC41" s="16"/>
      <c r="AD41" s="16"/>
      <c r="AE41" s="16"/>
      <c r="AF41" s="16"/>
      <c r="AG41" s="16"/>
      <c r="AH41" s="17">
        <v>99.524943875148907</v>
      </c>
      <c r="AI41" s="17">
        <v>99.534073916962399</v>
      </c>
      <c r="AJ41" s="17">
        <v>99.534073916962399</v>
      </c>
      <c r="AK41" s="17">
        <v>99.534073916962399</v>
      </c>
      <c r="AL41" s="17">
        <v>2.2787498310208299E-3</v>
      </c>
      <c r="AM41" s="17">
        <v>104.20551770809099</v>
      </c>
      <c r="AN41" s="17" t="s">
        <v>68</v>
      </c>
      <c r="AO41" s="17" t="s">
        <v>246</v>
      </c>
      <c r="AP41" s="17" t="s">
        <v>247</v>
      </c>
      <c r="AQ41" s="17" t="s">
        <v>87</v>
      </c>
      <c r="AR41" s="17" t="s">
        <v>88</v>
      </c>
      <c r="AS41" s="17" t="s">
        <v>88</v>
      </c>
      <c r="AT41" s="17" t="s">
        <v>248</v>
      </c>
      <c r="AU41" s="17" t="s">
        <v>90</v>
      </c>
      <c r="AV41" s="17">
        <v>2</v>
      </c>
      <c r="AW41" s="17">
        <v>1</v>
      </c>
      <c r="AX41" s="17" t="s">
        <v>210</v>
      </c>
      <c r="AY41" s="17" t="s">
        <v>61</v>
      </c>
      <c r="AZ41" s="16"/>
      <c r="BA41" s="17" t="s">
        <v>62</v>
      </c>
      <c r="BB41" s="17" t="s">
        <v>172</v>
      </c>
      <c r="BC41" s="17" t="s">
        <v>211</v>
      </c>
      <c r="BD41" s="16"/>
    </row>
    <row r="42" spans="1:56" ht="112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136</v>
      </c>
      <c r="H42" s="22" t="s">
        <v>69</v>
      </c>
      <c r="I42" s="22" t="s">
        <v>84</v>
      </c>
      <c r="J42" s="23"/>
      <c r="K42" s="17" t="s">
        <v>249</v>
      </c>
      <c r="L42" s="17" t="s">
        <v>250</v>
      </c>
      <c r="M42" s="17" t="s">
        <v>110</v>
      </c>
      <c r="N42" s="17" t="s">
        <v>111</v>
      </c>
      <c r="O42" s="17" t="s">
        <v>111</v>
      </c>
      <c r="P42" s="17" t="s">
        <v>251</v>
      </c>
      <c r="Q42" s="17" t="s">
        <v>113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8</v>
      </c>
      <c r="Z42" s="17">
        <v>104.216827332973</v>
      </c>
      <c r="AA42" s="16"/>
      <c r="AB42" s="16"/>
      <c r="AC42" s="16"/>
      <c r="AD42" s="16"/>
      <c r="AE42" s="16"/>
      <c r="AF42" s="16"/>
      <c r="AG42" s="16"/>
      <c r="AH42" s="17">
        <v>104.20743908314</v>
      </c>
      <c r="AI42" s="17">
        <v>104.216827332973</v>
      </c>
      <c r="AJ42" s="17">
        <v>104.216827332973</v>
      </c>
      <c r="AK42" s="17">
        <v>104.216827332973</v>
      </c>
      <c r="AL42" s="17">
        <v>1.83454202488065E-3</v>
      </c>
      <c r="AM42" s="17">
        <v>109.888073333073</v>
      </c>
      <c r="AN42" s="16"/>
      <c r="AO42" s="17" t="s">
        <v>249</v>
      </c>
      <c r="AP42" s="17" t="s">
        <v>250</v>
      </c>
      <c r="AQ42" s="17" t="s">
        <v>110</v>
      </c>
      <c r="AR42" s="17" t="s">
        <v>111</v>
      </c>
      <c r="AS42" s="17" t="s">
        <v>111</v>
      </c>
      <c r="AT42" s="17" t="s">
        <v>251</v>
      </c>
      <c r="AU42" s="17" t="s">
        <v>113</v>
      </c>
      <c r="AV42" s="17">
        <v>2</v>
      </c>
      <c r="AW42" s="17">
        <v>1</v>
      </c>
      <c r="AX42" s="17" t="s">
        <v>210</v>
      </c>
      <c r="AY42" s="17" t="s">
        <v>61</v>
      </c>
      <c r="AZ42" s="16"/>
      <c r="BA42" s="17" t="s">
        <v>62</v>
      </c>
      <c r="BB42" s="17" t="s">
        <v>172</v>
      </c>
      <c r="BC42" s="17" t="s">
        <v>211</v>
      </c>
      <c r="BD42" s="16"/>
    </row>
    <row r="43" spans="1:56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118</v>
      </c>
      <c r="H43" s="17" t="s">
        <v>75</v>
      </c>
      <c r="I43" s="17" t="s">
        <v>84</v>
      </c>
      <c r="J43" s="17" t="s">
        <v>75</v>
      </c>
      <c r="K43" s="17" t="s">
        <v>252</v>
      </c>
      <c r="L43" s="17" t="s">
        <v>253</v>
      </c>
      <c r="M43" s="17" t="s">
        <v>87</v>
      </c>
      <c r="N43" s="17" t="s">
        <v>88</v>
      </c>
      <c r="O43" s="17" t="s">
        <v>88</v>
      </c>
      <c r="P43" s="17" t="s">
        <v>254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7</v>
      </c>
      <c r="Z43" s="17">
        <v>109.896920333151</v>
      </c>
      <c r="AA43" s="16"/>
      <c r="AB43" s="16"/>
      <c r="AC43" s="16"/>
      <c r="AD43" s="16"/>
      <c r="AE43" s="16"/>
      <c r="AF43" s="16"/>
      <c r="AG43" s="16"/>
      <c r="AH43" s="17">
        <v>109.889662583126</v>
      </c>
      <c r="AI43" s="17">
        <v>109.896920333151</v>
      </c>
      <c r="AJ43" s="17">
        <v>109.896920333151</v>
      </c>
      <c r="AK43" s="17">
        <v>109.896920333151</v>
      </c>
      <c r="AL43" s="17">
        <v>1.47941708564758E-3</v>
      </c>
      <c r="AM43" s="17">
        <v>116.172236582963</v>
      </c>
      <c r="AN43" s="17" t="s">
        <v>75</v>
      </c>
      <c r="AO43" s="17" t="s">
        <v>252</v>
      </c>
      <c r="AP43" s="17" t="s">
        <v>253</v>
      </c>
      <c r="AQ43" s="17" t="s">
        <v>87</v>
      </c>
      <c r="AR43" s="17" t="s">
        <v>88</v>
      </c>
      <c r="AS43" s="17" t="s">
        <v>88</v>
      </c>
      <c r="AT43" s="17" t="s">
        <v>254</v>
      </c>
      <c r="AU43" s="17" t="s">
        <v>90</v>
      </c>
      <c r="AV43" s="17">
        <v>2</v>
      </c>
      <c r="AW43" s="17">
        <v>1</v>
      </c>
      <c r="AX43" s="17" t="s">
        <v>210</v>
      </c>
      <c r="AY43" s="17" t="s">
        <v>61</v>
      </c>
      <c r="AZ43" s="16"/>
      <c r="BA43" s="17" t="s">
        <v>62</v>
      </c>
      <c r="BB43" s="17" t="s">
        <v>172</v>
      </c>
      <c r="BC43" s="17" t="s">
        <v>211</v>
      </c>
      <c r="BD43" s="16"/>
    </row>
    <row r="44" spans="1:56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17" t="s">
        <v>106</v>
      </c>
      <c r="H44" s="17" t="s">
        <v>107</v>
      </c>
      <c r="I44" s="17" t="s">
        <v>96</v>
      </c>
      <c r="J44" s="17" t="s">
        <v>107</v>
      </c>
      <c r="K44" s="17" t="s">
        <v>255</v>
      </c>
      <c r="L44" s="17" t="s">
        <v>256</v>
      </c>
      <c r="M44" s="17" t="s">
        <v>87</v>
      </c>
      <c r="N44" s="17" t="s">
        <v>88</v>
      </c>
      <c r="O44" s="17" t="s">
        <v>88</v>
      </c>
      <c r="P44" s="17" t="s">
        <v>257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23</v>
      </c>
      <c r="Z44" s="17">
        <v>116.183672375046</v>
      </c>
      <c r="AA44" s="16"/>
      <c r="AB44" s="16"/>
      <c r="AC44" s="16"/>
      <c r="AD44" s="16"/>
      <c r="AE44" s="16"/>
      <c r="AF44" s="16"/>
      <c r="AG44" s="16"/>
      <c r="AH44" s="17">
        <v>116.174247957999</v>
      </c>
      <c r="AI44" s="17">
        <v>116.183672375046</v>
      </c>
      <c r="AJ44" s="17">
        <v>116.183672375046</v>
      </c>
      <c r="AK44" s="17">
        <v>116.183672375046</v>
      </c>
      <c r="AL44" s="17">
        <v>1.9186248537152999E-3</v>
      </c>
      <c r="AM44" s="17">
        <v>118.33852937514899</v>
      </c>
      <c r="AN44" s="17" t="s">
        <v>107</v>
      </c>
      <c r="AO44" s="17" t="s">
        <v>255</v>
      </c>
      <c r="AP44" s="17" t="s">
        <v>256</v>
      </c>
      <c r="AQ44" s="17" t="s">
        <v>87</v>
      </c>
      <c r="AR44" s="17" t="s">
        <v>88</v>
      </c>
      <c r="AS44" s="17" t="s">
        <v>88</v>
      </c>
      <c r="AT44" s="17" t="s">
        <v>257</v>
      </c>
      <c r="AU44" s="17" t="s">
        <v>90</v>
      </c>
      <c r="AV44" s="17">
        <v>2</v>
      </c>
      <c r="AW44" s="17">
        <v>1</v>
      </c>
      <c r="AX44" s="17" t="s">
        <v>210</v>
      </c>
      <c r="AY44" s="17" t="s">
        <v>61</v>
      </c>
      <c r="AZ44" s="16"/>
      <c r="BA44" s="17" t="s">
        <v>62</v>
      </c>
      <c r="BB44" s="17" t="s">
        <v>172</v>
      </c>
      <c r="BC44" s="17" t="s">
        <v>211</v>
      </c>
      <c r="BD44" s="16"/>
    </row>
    <row r="45" spans="1:56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17" t="s">
        <v>167</v>
      </c>
      <c r="H45" s="17" t="s">
        <v>59</v>
      </c>
      <c r="I45" s="17" t="s">
        <v>84</v>
      </c>
      <c r="J45" s="17" t="s">
        <v>59</v>
      </c>
      <c r="K45" s="17" t="s">
        <v>255</v>
      </c>
      <c r="L45" s="17" t="s">
        <v>258</v>
      </c>
      <c r="M45" s="17" t="s">
        <v>87</v>
      </c>
      <c r="N45" s="17" t="s">
        <v>88</v>
      </c>
      <c r="O45" s="17" t="s">
        <v>88</v>
      </c>
      <c r="P45" s="17" t="s">
        <v>259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12</v>
      </c>
      <c r="Z45" s="17">
        <v>118.35009962506599</v>
      </c>
      <c r="AA45" s="16"/>
      <c r="AB45" s="16"/>
      <c r="AC45" s="16"/>
      <c r="AD45" s="16"/>
      <c r="AE45" s="16"/>
      <c r="AF45" s="16"/>
      <c r="AG45" s="16"/>
      <c r="AH45" s="17">
        <v>118.340913958149</v>
      </c>
      <c r="AI45" s="17">
        <v>118.35009962506599</v>
      </c>
      <c r="AJ45" s="17">
        <v>118.35009962506599</v>
      </c>
      <c r="AK45" s="17">
        <v>118.35009962506599</v>
      </c>
      <c r="AL45" s="17">
        <v>2.2879578173160601E-3</v>
      </c>
      <c r="AM45" s="17">
        <v>127.33919175015799</v>
      </c>
      <c r="AN45" s="17" t="s">
        <v>59</v>
      </c>
      <c r="AO45" s="17" t="s">
        <v>255</v>
      </c>
      <c r="AP45" s="17" t="s">
        <v>258</v>
      </c>
      <c r="AQ45" s="17" t="s">
        <v>87</v>
      </c>
      <c r="AR45" s="17" t="s">
        <v>88</v>
      </c>
      <c r="AS45" s="17" t="s">
        <v>88</v>
      </c>
      <c r="AT45" s="17" t="s">
        <v>259</v>
      </c>
      <c r="AU45" s="17" t="s">
        <v>90</v>
      </c>
      <c r="AV45" s="17">
        <v>2</v>
      </c>
      <c r="AW45" s="17">
        <v>1</v>
      </c>
      <c r="AX45" s="17" t="s">
        <v>210</v>
      </c>
      <c r="AY45" s="17" t="s">
        <v>61</v>
      </c>
      <c r="AZ45" s="16"/>
      <c r="BA45" s="17" t="s">
        <v>62</v>
      </c>
      <c r="BB45" s="17" t="s">
        <v>172</v>
      </c>
      <c r="BC45" s="17" t="s">
        <v>211</v>
      </c>
      <c r="BD45" s="16"/>
    </row>
    <row r="46" spans="1:56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123</v>
      </c>
      <c r="H46" s="17" t="s">
        <v>78</v>
      </c>
      <c r="I46" s="17" t="s">
        <v>84</v>
      </c>
      <c r="J46" s="17" t="s">
        <v>78</v>
      </c>
      <c r="K46" s="17" t="s">
        <v>260</v>
      </c>
      <c r="L46" s="17" t="s">
        <v>261</v>
      </c>
      <c r="M46" s="17" t="s">
        <v>87</v>
      </c>
      <c r="N46" s="17" t="s">
        <v>88</v>
      </c>
      <c r="O46" s="17" t="s">
        <v>88</v>
      </c>
      <c r="P46" s="17" t="s">
        <v>262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5</v>
      </c>
      <c r="Z46" s="17">
        <v>127.350580791943</v>
      </c>
      <c r="AA46" s="16"/>
      <c r="AB46" s="16"/>
      <c r="AC46" s="16"/>
      <c r="AD46" s="16"/>
      <c r="AE46" s="16"/>
      <c r="AF46" s="16"/>
      <c r="AG46" s="16"/>
      <c r="AH46" s="17">
        <v>127.340919000097</v>
      </c>
      <c r="AI46" s="17">
        <v>127.350580791943</v>
      </c>
      <c r="AJ46" s="17">
        <v>127.350580791943</v>
      </c>
      <c r="AK46" s="17">
        <v>127.350580791943</v>
      </c>
      <c r="AL46" s="17">
        <v>1.6471671406179699E-3</v>
      </c>
      <c r="AM46" s="17">
        <v>129.90578662511001</v>
      </c>
      <c r="AN46" s="17" t="s">
        <v>78</v>
      </c>
      <c r="AO46" s="17" t="s">
        <v>260</v>
      </c>
      <c r="AP46" s="17" t="s">
        <v>261</v>
      </c>
      <c r="AQ46" s="17" t="s">
        <v>87</v>
      </c>
      <c r="AR46" s="17" t="s">
        <v>88</v>
      </c>
      <c r="AS46" s="17" t="s">
        <v>88</v>
      </c>
      <c r="AT46" s="17" t="s">
        <v>262</v>
      </c>
      <c r="AU46" s="17" t="s">
        <v>90</v>
      </c>
      <c r="AV46" s="17">
        <v>2</v>
      </c>
      <c r="AW46" s="17">
        <v>1</v>
      </c>
      <c r="AX46" s="17" t="s">
        <v>210</v>
      </c>
      <c r="AY46" s="17" t="s">
        <v>61</v>
      </c>
      <c r="AZ46" s="16"/>
      <c r="BA46" s="17" t="s">
        <v>62</v>
      </c>
      <c r="BB46" s="17" t="s">
        <v>172</v>
      </c>
      <c r="BC46" s="17" t="s">
        <v>211</v>
      </c>
      <c r="BD46" s="16"/>
    </row>
    <row r="48" spans="1:56" ht="14" x14ac:dyDescent="0.15">
      <c r="K48" s="19" t="s">
        <v>630</v>
      </c>
      <c r="L48" s="17" t="s">
        <v>643</v>
      </c>
      <c r="M48">
        <f>16/17</f>
        <v>0.94117647058823528</v>
      </c>
    </row>
    <row r="49" spans="11:13" ht="14" x14ac:dyDescent="0.15">
      <c r="K49" s="19" t="s">
        <v>631</v>
      </c>
      <c r="L49" s="17" t="s">
        <v>638</v>
      </c>
      <c r="M49">
        <f>3/4</f>
        <v>0.75</v>
      </c>
    </row>
    <row r="50" spans="11:13" x14ac:dyDescent="0.15">
      <c r="K50" s="1"/>
    </row>
    <row r="51" spans="11:13" x14ac:dyDescent="0.15">
      <c r="K51" s="19" t="s">
        <v>634</v>
      </c>
      <c r="M51">
        <f>M48-M49</f>
        <v>0.19117647058823528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A903-71AC-064E-ABB4-A48AC69BF874}">
  <dimension ref="A1:BH54"/>
  <sheetViews>
    <sheetView topLeftCell="A40" workbookViewId="0">
      <selection activeCell="M54" sqref="M54"/>
    </sheetView>
  </sheetViews>
  <sheetFormatPr baseColWidth="10" defaultRowHeight="13" x14ac:dyDescent="0.15"/>
  <cols>
    <col min="11" max="11" width="31.6640625" customWidth="1"/>
    <col min="13" max="13" width="12.33203125" bestFit="1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69</v>
      </c>
      <c r="B2" s="17">
        <v>0</v>
      </c>
      <c r="C2" s="17">
        <v>0</v>
      </c>
      <c r="D2" s="17">
        <v>0</v>
      </c>
      <c r="E2" s="17">
        <v>1</v>
      </c>
      <c r="F2" s="17">
        <v>1.2884431250859101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8</v>
      </c>
      <c r="V2" s="16"/>
      <c r="W2" s="16"/>
      <c r="X2" s="16"/>
      <c r="Y2" s="16"/>
      <c r="Z2" s="17">
        <v>4.21520001254976E-2</v>
      </c>
      <c r="AA2" s="16"/>
      <c r="AB2" s="17">
        <v>2.4608874926343598E-2</v>
      </c>
      <c r="AC2" s="17">
        <v>4.21520001254976E-2</v>
      </c>
      <c r="AD2" s="17">
        <v>4.21520001254976E-2</v>
      </c>
      <c r="AE2" s="17">
        <v>1.3216357079800201</v>
      </c>
      <c r="AF2" s="17">
        <v>1</v>
      </c>
      <c r="AG2" s="17">
        <v>1.2884431250859101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>
        <v>2.1</v>
      </c>
      <c r="BA2" s="17">
        <v>1</v>
      </c>
      <c r="BB2" s="17" t="s">
        <v>263</v>
      </c>
      <c r="BC2" s="17" t="s">
        <v>61</v>
      </c>
      <c r="BD2" s="16"/>
      <c r="BE2" s="17" t="s">
        <v>62</v>
      </c>
      <c r="BF2" s="17" t="s">
        <v>172</v>
      </c>
      <c r="BG2" s="17" t="s">
        <v>264</v>
      </c>
      <c r="BH2" s="16"/>
    </row>
    <row r="3" spans="1:60" ht="56" x14ac:dyDescent="0.15">
      <c r="A3" s="15" t="s">
        <v>81</v>
      </c>
      <c r="B3" s="17">
        <v>1</v>
      </c>
      <c r="C3" s="17">
        <v>1</v>
      </c>
      <c r="D3" s="17">
        <v>0</v>
      </c>
      <c r="E3" s="17">
        <v>1</v>
      </c>
      <c r="F3" s="17">
        <v>1.08817599993199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4</v>
      </c>
      <c r="V3" s="16"/>
      <c r="W3" s="16"/>
      <c r="X3" s="16"/>
      <c r="Y3" s="16"/>
      <c r="Z3" s="17">
        <v>1.3315204579848801</v>
      </c>
      <c r="AA3" s="16"/>
      <c r="AB3" s="17">
        <v>1.3247701250948001</v>
      </c>
      <c r="AC3" s="17">
        <v>1.3315204579848801</v>
      </c>
      <c r="AD3" s="17">
        <v>1.3315204579848801</v>
      </c>
      <c r="AE3" s="17">
        <v>2.42209783312865</v>
      </c>
      <c r="AF3" s="17">
        <v>1</v>
      </c>
      <c r="AG3" s="17">
        <v>1.08817599993199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>
        <v>2.1</v>
      </c>
      <c r="BA3" s="17">
        <v>1</v>
      </c>
      <c r="BB3" s="17" t="s">
        <v>263</v>
      </c>
      <c r="BC3" s="17" t="s">
        <v>61</v>
      </c>
      <c r="BD3" s="16"/>
      <c r="BE3" s="17" t="s">
        <v>62</v>
      </c>
      <c r="BF3" s="17" t="s">
        <v>172</v>
      </c>
      <c r="BG3" s="17" t="s">
        <v>264</v>
      </c>
      <c r="BH3" s="16"/>
    </row>
    <row r="4" spans="1:60" ht="56" x14ac:dyDescent="0.15">
      <c r="A4" s="15" t="s">
        <v>78</v>
      </c>
      <c r="B4" s="17">
        <v>2</v>
      </c>
      <c r="C4" s="17">
        <v>2</v>
      </c>
      <c r="D4" s="17">
        <v>0</v>
      </c>
      <c r="E4" s="17">
        <v>1</v>
      </c>
      <c r="F4" s="17">
        <v>0.93902008282020699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5</v>
      </c>
      <c r="V4" s="16"/>
      <c r="W4" s="16"/>
      <c r="X4" s="16"/>
      <c r="Y4" s="16"/>
      <c r="Z4" s="17">
        <v>2.4303102081175898</v>
      </c>
      <c r="AA4" s="16"/>
      <c r="AB4" s="17">
        <v>2.42394795804285</v>
      </c>
      <c r="AC4" s="17">
        <v>2.4303102081175898</v>
      </c>
      <c r="AD4" s="17">
        <v>2.4303102081175898</v>
      </c>
      <c r="AE4" s="17">
        <v>3.37205858295783</v>
      </c>
      <c r="AF4" s="17">
        <v>1</v>
      </c>
      <c r="AG4" s="17">
        <v>0.93902008282020699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>
        <v>2.1</v>
      </c>
      <c r="BA4" s="17">
        <v>1</v>
      </c>
      <c r="BB4" s="17" t="s">
        <v>263</v>
      </c>
      <c r="BC4" s="17" t="s">
        <v>61</v>
      </c>
      <c r="BD4" s="16"/>
      <c r="BE4" s="17" t="s">
        <v>62</v>
      </c>
      <c r="BF4" s="17" t="s">
        <v>172</v>
      </c>
      <c r="BG4" s="17" t="s">
        <v>264</v>
      </c>
      <c r="BH4" s="16"/>
    </row>
    <row r="5" spans="1:60" ht="56" x14ac:dyDescent="0.15">
      <c r="A5" s="15" t="s">
        <v>67</v>
      </c>
      <c r="B5" s="17">
        <v>3</v>
      </c>
      <c r="C5" s="17">
        <v>3</v>
      </c>
      <c r="D5" s="17">
        <v>0</v>
      </c>
      <c r="E5" s="17">
        <v>1</v>
      </c>
      <c r="F5" s="17">
        <v>0.68674391601234697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16</v>
      </c>
      <c r="V5" s="16"/>
      <c r="W5" s="16"/>
      <c r="X5" s="16"/>
      <c r="Y5" s="16"/>
      <c r="Z5" s="17">
        <v>3.3821046671364501</v>
      </c>
      <c r="AA5" s="16"/>
      <c r="AB5" s="17">
        <v>3.3754007080569899</v>
      </c>
      <c r="AC5" s="17">
        <v>3.3821046671364501</v>
      </c>
      <c r="AD5" s="17">
        <v>3.3821046671364501</v>
      </c>
      <c r="AE5" s="17">
        <v>4.0722549171187001</v>
      </c>
      <c r="AF5" s="17">
        <v>1</v>
      </c>
      <c r="AG5" s="17">
        <v>0.68674391601234697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>
        <v>2.1</v>
      </c>
      <c r="BA5" s="17">
        <v>1</v>
      </c>
      <c r="BB5" s="17" t="s">
        <v>263</v>
      </c>
      <c r="BC5" s="17" t="s">
        <v>61</v>
      </c>
      <c r="BD5" s="16"/>
      <c r="BE5" s="17" t="s">
        <v>62</v>
      </c>
      <c r="BF5" s="17" t="s">
        <v>172</v>
      </c>
      <c r="BG5" s="17" t="s">
        <v>264</v>
      </c>
      <c r="BH5" s="16"/>
    </row>
    <row r="6" spans="1:60" ht="56" x14ac:dyDescent="0.15">
      <c r="A6" s="15" t="s">
        <v>75</v>
      </c>
      <c r="B6" s="17">
        <v>4</v>
      </c>
      <c r="C6" s="17">
        <v>4</v>
      </c>
      <c r="D6" s="17">
        <v>0</v>
      </c>
      <c r="E6" s="17">
        <v>1</v>
      </c>
      <c r="F6" s="17">
        <v>0.83872337499633398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7</v>
      </c>
      <c r="V6" s="16"/>
      <c r="W6" s="16"/>
      <c r="X6" s="16"/>
      <c r="Y6" s="16"/>
      <c r="Z6" s="17">
        <v>4.0803102499339703</v>
      </c>
      <c r="AA6" s="16"/>
      <c r="AB6" s="17">
        <v>4.0743069169111603</v>
      </c>
      <c r="AC6" s="17">
        <v>4.0803102499339703</v>
      </c>
      <c r="AD6" s="17">
        <v>4.0803102499339703</v>
      </c>
      <c r="AE6" s="17">
        <v>4.92204562504776</v>
      </c>
      <c r="AF6" s="17">
        <v>1</v>
      </c>
      <c r="AG6" s="17">
        <v>0.83872337499633398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>
        <v>2.1</v>
      </c>
      <c r="BA6" s="17">
        <v>1</v>
      </c>
      <c r="BB6" s="17" t="s">
        <v>263</v>
      </c>
      <c r="BC6" s="17" t="s">
        <v>61</v>
      </c>
      <c r="BD6" s="16"/>
      <c r="BE6" s="17" t="s">
        <v>62</v>
      </c>
      <c r="BF6" s="17" t="s">
        <v>172</v>
      </c>
      <c r="BG6" s="17" t="s">
        <v>264</v>
      </c>
      <c r="BH6" s="16"/>
    </row>
    <row r="7" spans="1:60" ht="56" x14ac:dyDescent="0.15">
      <c r="A7" s="15" t="s">
        <v>66</v>
      </c>
      <c r="B7" s="17">
        <v>5</v>
      </c>
      <c r="C7" s="17">
        <v>5</v>
      </c>
      <c r="D7" s="17">
        <v>0</v>
      </c>
      <c r="E7" s="17">
        <v>1</v>
      </c>
      <c r="F7" s="17">
        <v>0.58836549986153797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1</v>
      </c>
      <c r="V7" s="16"/>
      <c r="W7" s="16"/>
      <c r="X7" s="16"/>
      <c r="Y7" s="16"/>
      <c r="Z7" s="17">
        <v>4.9311268329620397</v>
      </c>
      <c r="AA7" s="16"/>
      <c r="AB7" s="17">
        <v>4.9246057500131402</v>
      </c>
      <c r="AC7" s="17">
        <v>4.9311268329620397</v>
      </c>
      <c r="AD7" s="17">
        <v>4.9311268329620397</v>
      </c>
      <c r="AE7" s="17">
        <v>5.52190045802854</v>
      </c>
      <c r="AF7" s="17">
        <v>1</v>
      </c>
      <c r="AG7" s="17">
        <v>0.58836549986153797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>
        <v>2.1</v>
      </c>
      <c r="BA7" s="17">
        <v>1</v>
      </c>
      <c r="BB7" s="17" t="s">
        <v>263</v>
      </c>
      <c r="BC7" s="17" t="s">
        <v>61</v>
      </c>
      <c r="BD7" s="16"/>
      <c r="BE7" s="17" t="s">
        <v>62</v>
      </c>
      <c r="BF7" s="17" t="s">
        <v>172</v>
      </c>
      <c r="BG7" s="17" t="s">
        <v>264</v>
      </c>
      <c r="BH7" s="16"/>
    </row>
    <row r="8" spans="1:60" ht="56" x14ac:dyDescent="0.15">
      <c r="A8" s="15" t="s">
        <v>71</v>
      </c>
      <c r="B8" s="17">
        <v>6</v>
      </c>
      <c r="C8" s="17">
        <v>6</v>
      </c>
      <c r="D8" s="17">
        <v>0</v>
      </c>
      <c r="E8" s="17">
        <v>1</v>
      </c>
      <c r="F8" s="17">
        <v>0.88935816683806501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19</v>
      </c>
      <c r="V8" s="16"/>
      <c r="W8" s="16"/>
      <c r="X8" s="16"/>
      <c r="Y8" s="16"/>
      <c r="Z8" s="17">
        <v>5.5306820420082703</v>
      </c>
      <c r="AA8" s="16"/>
      <c r="AB8" s="17">
        <v>5.5241850831080201</v>
      </c>
      <c r="AC8" s="17">
        <v>5.5306820420082703</v>
      </c>
      <c r="AD8" s="17">
        <v>5.5306820420082703</v>
      </c>
      <c r="AE8" s="17">
        <v>6.4223249999340597</v>
      </c>
      <c r="AF8" s="17">
        <v>1</v>
      </c>
      <c r="AG8" s="17">
        <v>0.88935816683806501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>
        <v>2.1</v>
      </c>
      <c r="BA8" s="17">
        <v>1</v>
      </c>
      <c r="BB8" s="17" t="s">
        <v>263</v>
      </c>
      <c r="BC8" s="17" t="s">
        <v>61</v>
      </c>
      <c r="BD8" s="16"/>
      <c r="BE8" s="17" t="s">
        <v>62</v>
      </c>
      <c r="BF8" s="17" t="s">
        <v>172</v>
      </c>
      <c r="BG8" s="17" t="s">
        <v>264</v>
      </c>
      <c r="BH8" s="16"/>
    </row>
    <row r="9" spans="1:60" ht="56" x14ac:dyDescent="0.15">
      <c r="A9" s="15" t="s">
        <v>77</v>
      </c>
      <c r="B9" s="17">
        <v>7</v>
      </c>
      <c r="C9" s="17">
        <v>7</v>
      </c>
      <c r="D9" s="17">
        <v>0</v>
      </c>
      <c r="E9" s="17">
        <v>1</v>
      </c>
      <c r="F9" s="17">
        <v>0.63811812479980301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10</v>
      </c>
      <c r="V9" s="16"/>
      <c r="W9" s="16"/>
      <c r="X9" s="16"/>
      <c r="Y9" s="16"/>
      <c r="Z9" s="17">
        <v>6.4318065829575097</v>
      </c>
      <c r="AA9" s="16"/>
      <c r="AB9" s="17">
        <v>6.4248334579169804</v>
      </c>
      <c r="AC9" s="17">
        <v>6.4318065829575097</v>
      </c>
      <c r="AD9" s="17">
        <v>6.4318065829575097</v>
      </c>
      <c r="AE9" s="17">
        <v>7.0720849169883904</v>
      </c>
      <c r="AF9" s="17">
        <v>1</v>
      </c>
      <c r="AG9" s="17">
        <v>0.63811812479980301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>
        <v>2.1</v>
      </c>
      <c r="BA9" s="17">
        <v>1</v>
      </c>
      <c r="BB9" s="17" t="s">
        <v>263</v>
      </c>
      <c r="BC9" s="17" t="s">
        <v>61</v>
      </c>
      <c r="BD9" s="16"/>
      <c r="BE9" s="17" t="s">
        <v>62</v>
      </c>
      <c r="BF9" s="17" t="s">
        <v>172</v>
      </c>
      <c r="BG9" s="17" t="s">
        <v>264</v>
      </c>
      <c r="BH9" s="16"/>
    </row>
    <row r="10" spans="1:60" ht="56" x14ac:dyDescent="0.15">
      <c r="A10" s="15" t="s">
        <v>68</v>
      </c>
      <c r="B10" s="17">
        <v>8</v>
      </c>
      <c r="C10" s="17">
        <v>8</v>
      </c>
      <c r="D10" s="17">
        <v>0</v>
      </c>
      <c r="E10" s="17">
        <v>1</v>
      </c>
      <c r="F10" s="17">
        <v>1.2725110419560199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17</v>
      </c>
      <c r="V10" s="16"/>
      <c r="W10" s="16"/>
      <c r="X10" s="16"/>
      <c r="Y10" s="16"/>
      <c r="Z10" s="17">
        <v>7.0805261249188298</v>
      </c>
      <c r="AA10" s="16"/>
      <c r="AB10" s="17">
        <v>7.07403537491337</v>
      </c>
      <c r="AC10" s="17">
        <v>7.0805261249188298</v>
      </c>
      <c r="AD10" s="17">
        <v>7.0805261249188298</v>
      </c>
      <c r="AE10" s="17">
        <v>8.3549016250763106</v>
      </c>
      <c r="AF10" s="17">
        <v>1</v>
      </c>
      <c r="AG10" s="17">
        <v>1.2725110419560199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>
        <v>2.1</v>
      </c>
      <c r="BA10" s="17">
        <v>1</v>
      </c>
      <c r="BB10" s="17" t="s">
        <v>263</v>
      </c>
      <c r="BC10" s="17" t="s">
        <v>61</v>
      </c>
      <c r="BD10" s="16"/>
      <c r="BE10" s="17" t="s">
        <v>62</v>
      </c>
      <c r="BF10" s="17" t="s">
        <v>172</v>
      </c>
      <c r="BG10" s="17" t="s">
        <v>264</v>
      </c>
      <c r="BH10" s="16"/>
    </row>
    <row r="11" spans="1:60" ht="56" x14ac:dyDescent="0.15">
      <c r="A11" s="15" t="s">
        <v>82</v>
      </c>
      <c r="B11" s="17">
        <v>9</v>
      </c>
      <c r="C11" s="17">
        <v>9</v>
      </c>
      <c r="D11" s="17">
        <v>0</v>
      </c>
      <c r="E11" s="17">
        <v>1</v>
      </c>
      <c r="F11" s="17">
        <v>2.3061084579676399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9</v>
      </c>
      <c r="V11" s="16"/>
      <c r="W11" s="16"/>
      <c r="X11" s="16"/>
      <c r="Y11" s="16"/>
      <c r="Z11" s="17">
        <v>8.3635542499832791</v>
      </c>
      <c r="AA11" s="16"/>
      <c r="AB11" s="17">
        <v>8.3569093330297601</v>
      </c>
      <c r="AC11" s="17">
        <v>8.3635542499832791</v>
      </c>
      <c r="AD11" s="17">
        <v>8.3635542499832791</v>
      </c>
      <c r="AE11" s="17">
        <v>10.672032875008901</v>
      </c>
      <c r="AF11" s="17">
        <v>1</v>
      </c>
      <c r="AG11" s="17">
        <v>2.3061084579676399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>
        <v>2.1</v>
      </c>
      <c r="BA11" s="17">
        <v>1</v>
      </c>
      <c r="BB11" s="17" t="s">
        <v>263</v>
      </c>
      <c r="BC11" s="17" t="s">
        <v>61</v>
      </c>
      <c r="BD11" s="16"/>
      <c r="BE11" s="17" t="s">
        <v>62</v>
      </c>
      <c r="BF11" s="17" t="s">
        <v>172</v>
      </c>
      <c r="BG11" s="17" t="s">
        <v>264</v>
      </c>
      <c r="BH11" s="16"/>
    </row>
    <row r="12" spans="1:60" ht="56" x14ac:dyDescent="0.15">
      <c r="A12" s="15" t="s">
        <v>79</v>
      </c>
      <c r="B12" s="17">
        <v>10</v>
      </c>
      <c r="C12" s="17">
        <v>10</v>
      </c>
      <c r="D12" s="17">
        <v>0</v>
      </c>
      <c r="E12" s="17">
        <v>1</v>
      </c>
      <c r="F12" s="17">
        <v>1.2220557499676901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3</v>
      </c>
      <c r="V12" s="16"/>
      <c r="W12" s="16"/>
      <c r="X12" s="16"/>
      <c r="Y12" s="16"/>
      <c r="Z12" s="17">
        <v>10.6807370421011</v>
      </c>
      <c r="AA12" s="16"/>
      <c r="AB12" s="17">
        <v>10.673976167105099</v>
      </c>
      <c r="AC12" s="17">
        <v>10.6807370421011</v>
      </c>
      <c r="AD12" s="17">
        <v>10.6807370421011</v>
      </c>
      <c r="AE12" s="17">
        <v>11.9051967919804</v>
      </c>
      <c r="AF12" s="17">
        <v>1</v>
      </c>
      <c r="AG12" s="17">
        <v>1.2220557499676901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>
        <v>2.1</v>
      </c>
      <c r="BA12" s="17">
        <v>1</v>
      </c>
      <c r="BB12" s="17" t="s">
        <v>263</v>
      </c>
      <c r="BC12" s="17" t="s">
        <v>61</v>
      </c>
      <c r="BD12" s="16"/>
      <c r="BE12" s="17" t="s">
        <v>62</v>
      </c>
      <c r="BF12" s="17" t="s">
        <v>172</v>
      </c>
      <c r="BG12" s="17" t="s">
        <v>264</v>
      </c>
      <c r="BH12" s="16"/>
    </row>
    <row r="13" spans="1:60" ht="56" x14ac:dyDescent="0.15">
      <c r="A13" s="15" t="s">
        <v>76</v>
      </c>
      <c r="B13" s="17">
        <v>11</v>
      </c>
      <c r="C13" s="17">
        <v>11</v>
      </c>
      <c r="D13" s="17">
        <v>0</v>
      </c>
      <c r="E13" s="17">
        <v>1</v>
      </c>
      <c r="F13" s="17">
        <v>0.67185412487015095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6</v>
      </c>
      <c r="V13" s="16"/>
      <c r="W13" s="16"/>
      <c r="X13" s="16"/>
      <c r="Y13" s="16"/>
      <c r="Z13" s="17">
        <v>11.914619416929799</v>
      </c>
      <c r="AA13" s="16"/>
      <c r="AB13" s="17">
        <v>11.9079032079317</v>
      </c>
      <c r="AC13" s="17">
        <v>11.914619416929799</v>
      </c>
      <c r="AD13" s="17">
        <v>11.914619416929799</v>
      </c>
      <c r="AE13" s="17">
        <v>12.5887034579646</v>
      </c>
      <c r="AF13" s="17">
        <v>1</v>
      </c>
      <c r="AG13" s="17">
        <v>0.67185412487015095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>
        <v>2.1</v>
      </c>
      <c r="BA13" s="17">
        <v>1</v>
      </c>
      <c r="BB13" s="17" t="s">
        <v>263</v>
      </c>
      <c r="BC13" s="17" t="s">
        <v>61</v>
      </c>
      <c r="BD13" s="16"/>
      <c r="BE13" s="17" t="s">
        <v>62</v>
      </c>
      <c r="BF13" s="17" t="s">
        <v>172</v>
      </c>
      <c r="BG13" s="17" t="s">
        <v>264</v>
      </c>
      <c r="BH13" s="16"/>
    </row>
    <row r="14" spans="1:60" ht="56" x14ac:dyDescent="0.15">
      <c r="A14" s="15" t="s">
        <v>64</v>
      </c>
      <c r="B14" s="17">
        <v>12</v>
      </c>
      <c r="C14" s="17">
        <v>12</v>
      </c>
      <c r="D14" s="17">
        <v>0</v>
      </c>
      <c r="E14" s="17">
        <v>1</v>
      </c>
      <c r="F14" s="17">
        <v>0.70572245796211097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18</v>
      </c>
      <c r="V14" s="16"/>
      <c r="W14" s="16"/>
      <c r="X14" s="16"/>
      <c r="Y14" s="16"/>
      <c r="Z14" s="17">
        <v>12.5973612079397</v>
      </c>
      <c r="AA14" s="16"/>
      <c r="AB14" s="17">
        <v>12.5906521670986</v>
      </c>
      <c r="AC14" s="17">
        <v>12.5973612079397</v>
      </c>
      <c r="AD14" s="17">
        <v>12.5973612079397</v>
      </c>
      <c r="AE14" s="17">
        <v>13.3052949579433</v>
      </c>
      <c r="AF14" s="17">
        <v>1</v>
      </c>
      <c r="AG14" s="17">
        <v>0.70572245796211097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>
        <v>2.1</v>
      </c>
      <c r="BA14" s="17">
        <v>1</v>
      </c>
      <c r="BB14" s="17" t="s">
        <v>263</v>
      </c>
      <c r="BC14" s="17" t="s">
        <v>61</v>
      </c>
      <c r="BD14" s="16"/>
      <c r="BE14" s="17" t="s">
        <v>62</v>
      </c>
      <c r="BF14" s="17" t="s">
        <v>172</v>
      </c>
      <c r="BG14" s="17" t="s">
        <v>264</v>
      </c>
      <c r="BH14" s="16"/>
    </row>
    <row r="15" spans="1:60" ht="56" x14ac:dyDescent="0.15">
      <c r="A15" s="15" t="s">
        <v>72</v>
      </c>
      <c r="B15" s="17">
        <v>13</v>
      </c>
      <c r="C15" s="17">
        <v>13</v>
      </c>
      <c r="D15" s="17">
        <v>0</v>
      </c>
      <c r="E15" s="17">
        <v>1</v>
      </c>
      <c r="F15" s="17">
        <v>0.65609283302910604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0</v>
      </c>
      <c r="V15" s="16"/>
      <c r="W15" s="16"/>
      <c r="X15" s="16"/>
      <c r="Y15" s="16"/>
      <c r="Z15" s="17">
        <v>13.313518417067799</v>
      </c>
      <c r="AA15" s="16"/>
      <c r="AB15" s="17">
        <v>13.306932708015699</v>
      </c>
      <c r="AC15" s="17">
        <v>13.313518417067799</v>
      </c>
      <c r="AD15" s="17">
        <v>13.313518417067799</v>
      </c>
      <c r="AE15" s="17">
        <v>13.9719587499276</v>
      </c>
      <c r="AF15" s="17">
        <v>1</v>
      </c>
      <c r="AG15" s="17">
        <v>0.65609283302910604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>
        <v>2.1</v>
      </c>
      <c r="BA15" s="17">
        <v>1</v>
      </c>
      <c r="BB15" s="17" t="s">
        <v>263</v>
      </c>
      <c r="BC15" s="17" t="s">
        <v>61</v>
      </c>
      <c r="BD15" s="16"/>
      <c r="BE15" s="17" t="s">
        <v>62</v>
      </c>
      <c r="BF15" s="17" t="s">
        <v>172</v>
      </c>
      <c r="BG15" s="17" t="s">
        <v>264</v>
      </c>
      <c r="BH15" s="16"/>
    </row>
    <row r="16" spans="1:60" ht="56" x14ac:dyDescent="0.15">
      <c r="A16" s="15" t="s">
        <v>65</v>
      </c>
      <c r="B16" s="17">
        <v>14</v>
      </c>
      <c r="C16" s="17">
        <v>14</v>
      </c>
      <c r="D16" s="17">
        <v>0</v>
      </c>
      <c r="E16" s="17">
        <v>1</v>
      </c>
      <c r="F16" s="17">
        <v>1.00569933303632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11</v>
      </c>
      <c r="V16" s="16"/>
      <c r="W16" s="16"/>
      <c r="X16" s="16"/>
      <c r="Y16" s="16"/>
      <c r="Z16" s="17">
        <v>13.980191958136899</v>
      </c>
      <c r="AA16" s="16"/>
      <c r="AB16" s="17">
        <v>13.973729457938999</v>
      </c>
      <c r="AC16" s="17">
        <v>13.980191958136899</v>
      </c>
      <c r="AD16" s="17">
        <v>13.980191958136899</v>
      </c>
      <c r="AE16" s="17">
        <v>14.9887485001236</v>
      </c>
      <c r="AF16" s="17">
        <v>1</v>
      </c>
      <c r="AG16" s="17">
        <v>1.00569933303632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>
        <v>2.1</v>
      </c>
      <c r="BA16" s="17">
        <v>1</v>
      </c>
      <c r="BB16" s="17" t="s">
        <v>263</v>
      </c>
      <c r="BC16" s="17" t="s">
        <v>61</v>
      </c>
      <c r="BD16" s="16"/>
      <c r="BE16" s="17" t="s">
        <v>62</v>
      </c>
      <c r="BF16" s="17" t="s">
        <v>172</v>
      </c>
      <c r="BG16" s="17" t="s">
        <v>264</v>
      </c>
      <c r="BH16" s="16"/>
    </row>
    <row r="17" spans="1:60" ht="56" x14ac:dyDescent="0.15">
      <c r="A17" s="15" t="s">
        <v>80</v>
      </c>
      <c r="B17" s="17">
        <v>15</v>
      </c>
      <c r="C17" s="17">
        <v>15</v>
      </c>
      <c r="D17" s="17">
        <v>0</v>
      </c>
      <c r="E17" s="17">
        <v>1</v>
      </c>
      <c r="F17" s="17">
        <v>0.55507962498813901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15</v>
      </c>
      <c r="V17" s="16"/>
      <c r="W17" s="16"/>
      <c r="X17" s="16"/>
      <c r="Y17" s="16"/>
      <c r="Z17" s="17">
        <v>14.9979487920646</v>
      </c>
      <c r="AA17" s="16"/>
      <c r="AB17" s="17">
        <v>14.991426625056199</v>
      </c>
      <c r="AC17" s="17">
        <v>14.9979487920646</v>
      </c>
      <c r="AD17" s="17">
        <v>14.9979487920646</v>
      </c>
      <c r="AE17" s="17">
        <v>15.5553473751061</v>
      </c>
      <c r="AF17" s="17">
        <v>1</v>
      </c>
      <c r="AG17" s="17">
        <v>0.55507962498813901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>
        <v>2.1</v>
      </c>
      <c r="BA17" s="17">
        <v>1</v>
      </c>
      <c r="BB17" s="17" t="s">
        <v>263</v>
      </c>
      <c r="BC17" s="17" t="s">
        <v>61</v>
      </c>
      <c r="BD17" s="16"/>
      <c r="BE17" s="17" t="s">
        <v>62</v>
      </c>
      <c r="BF17" s="17" t="s">
        <v>172</v>
      </c>
      <c r="BG17" s="17" t="s">
        <v>264</v>
      </c>
      <c r="BH17" s="16"/>
    </row>
    <row r="18" spans="1:60" ht="56" x14ac:dyDescent="0.15">
      <c r="A18" s="15" t="s">
        <v>70</v>
      </c>
      <c r="B18" s="17">
        <v>16</v>
      </c>
      <c r="C18" s="17">
        <v>16</v>
      </c>
      <c r="D18" s="17">
        <v>0</v>
      </c>
      <c r="E18" s="17">
        <v>1</v>
      </c>
      <c r="F18" s="17">
        <v>0.80563404108397696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2</v>
      </c>
      <c r="V18" s="16"/>
      <c r="W18" s="16"/>
      <c r="X18" s="16"/>
      <c r="Y18" s="16"/>
      <c r="Z18" s="17">
        <v>15.563988042064</v>
      </c>
      <c r="AA18" s="16"/>
      <c r="AB18" s="17">
        <v>15.5571952920873</v>
      </c>
      <c r="AC18" s="17">
        <v>15.563988042064</v>
      </c>
      <c r="AD18" s="17">
        <v>15.563988042064</v>
      </c>
      <c r="AE18" s="17">
        <v>16.371979957912099</v>
      </c>
      <c r="AF18" s="17">
        <v>1</v>
      </c>
      <c r="AG18" s="17">
        <v>0.80563404108397696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>
        <v>2.1</v>
      </c>
      <c r="BA18" s="17">
        <v>1</v>
      </c>
      <c r="BB18" s="17" t="s">
        <v>263</v>
      </c>
      <c r="BC18" s="17" t="s">
        <v>61</v>
      </c>
      <c r="BD18" s="16"/>
      <c r="BE18" s="17" t="s">
        <v>62</v>
      </c>
      <c r="BF18" s="17" t="s">
        <v>172</v>
      </c>
      <c r="BG18" s="17" t="s">
        <v>264</v>
      </c>
      <c r="BH18" s="16"/>
    </row>
    <row r="19" spans="1:60" ht="56" x14ac:dyDescent="0.15">
      <c r="A19" s="15" t="s">
        <v>73</v>
      </c>
      <c r="B19" s="17">
        <v>17</v>
      </c>
      <c r="C19" s="17">
        <v>17</v>
      </c>
      <c r="D19" s="17">
        <v>0</v>
      </c>
      <c r="E19" s="17">
        <v>1</v>
      </c>
      <c r="F19" s="17">
        <v>1.38918954203837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14</v>
      </c>
      <c r="V19" s="16"/>
      <c r="W19" s="16"/>
      <c r="X19" s="16"/>
      <c r="Y19" s="16"/>
      <c r="Z19" s="17">
        <v>16.380202041938901</v>
      </c>
      <c r="AA19" s="16"/>
      <c r="AB19" s="17">
        <v>16.373656000010701</v>
      </c>
      <c r="AC19" s="17">
        <v>16.380202041938901</v>
      </c>
      <c r="AD19" s="17">
        <v>16.380202041938901</v>
      </c>
      <c r="AE19" s="17">
        <v>17.772008124971801</v>
      </c>
      <c r="AF19" s="17">
        <v>1</v>
      </c>
      <c r="AG19" s="17">
        <v>1.38918954203837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>
        <v>2.1</v>
      </c>
      <c r="BA19" s="17">
        <v>1</v>
      </c>
      <c r="BB19" s="17" t="s">
        <v>263</v>
      </c>
      <c r="BC19" s="17" t="s">
        <v>61</v>
      </c>
      <c r="BD19" s="16"/>
      <c r="BE19" s="17" t="s">
        <v>62</v>
      </c>
      <c r="BF19" s="17" t="s">
        <v>172</v>
      </c>
      <c r="BG19" s="17" t="s">
        <v>264</v>
      </c>
      <c r="BH19" s="16"/>
    </row>
    <row r="20" spans="1:60" ht="56" x14ac:dyDescent="0.15">
      <c r="A20" s="15" t="s">
        <v>74</v>
      </c>
      <c r="B20" s="17">
        <v>18</v>
      </c>
      <c r="C20" s="17">
        <v>18</v>
      </c>
      <c r="D20" s="17">
        <v>0</v>
      </c>
      <c r="E20" s="17">
        <v>1</v>
      </c>
      <c r="F20" s="17">
        <v>0.62281258380971904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13</v>
      </c>
      <c r="V20" s="16"/>
      <c r="W20" s="16"/>
      <c r="X20" s="16"/>
      <c r="Y20" s="16"/>
      <c r="Z20" s="17">
        <v>17.780231500044501</v>
      </c>
      <c r="AA20" s="16"/>
      <c r="AB20" s="17">
        <v>17.773714167065901</v>
      </c>
      <c r="AC20" s="17">
        <v>17.780231500044501</v>
      </c>
      <c r="AD20" s="17">
        <v>17.780231500044501</v>
      </c>
      <c r="AE20" s="17">
        <v>18.4053292500321</v>
      </c>
      <c r="AF20" s="17">
        <v>1</v>
      </c>
      <c r="AG20" s="17">
        <v>0.62281258380971904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>
        <v>2.1</v>
      </c>
      <c r="BA20" s="17">
        <v>1</v>
      </c>
      <c r="BB20" s="17" t="s">
        <v>263</v>
      </c>
      <c r="BC20" s="17" t="s">
        <v>61</v>
      </c>
      <c r="BD20" s="16"/>
      <c r="BE20" s="17" t="s">
        <v>62</v>
      </c>
      <c r="BF20" s="17" t="s">
        <v>172</v>
      </c>
      <c r="BG20" s="17" t="s">
        <v>264</v>
      </c>
      <c r="BH20" s="16"/>
    </row>
    <row r="21" spans="1:60" ht="56" x14ac:dyDescent="0.15">
      <c r="A21" s="15" t="s">
        <v>59</v>
      </c>
      <c r="B21" s="17">
        <v>19</v>
      </c>
      <c r="C21" s="17">
        <v>19</v>
      </c>
      <c r="D21" s="17">
        <v>0</v>
      </c>
      <c r="E21" s="17">
        <v>1</v>
      </c>
      <c r="F21" s="17">
        <v>1.38934004190378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12</v>
      </c>
      <c r="V21" s="16"/>
      <c r="W21" s="16"/>
      <c r="X21" s="16"/>
      <c r="Y21" s="16"/>
      <c r="Z21" s="17">
        <v>18.413758000126101</v>
      </c>
      <c r="AA21" s="16"/>
      <c r="AB21" s="17">
        <v>18.407167667057401</v>
      </c>
      <c r="AC21" s="17">
        <v>18.413758000126101</v>
      </c>
      <c r="AD21" s="17">
        <v>18.413758000126101</v>
      </c>
      <c r="AE21" s="17">
        <v>19.805295542115299</v>
      </c>
      <c r="AF21" s="17">
        <v>1</v>
      </c>
      <c r="AG21" s="17">
        <v>1.38934004190378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>
        <v>2.1</v>
      </c>
      <c r="BA21" s="17">
        <v>1</v>
      </c>
      <c r="BB21" s="17" t="s">
        <v>263</v>
      </c>
      <c r="BC21" s="17" t="s">
        <v>61</v>
      </c>
      <c r="BD21" s="16"/>
      <c r="BE21" s="17" t="s">
        <v>62</v>
      </c>
      <c r="BF21" s="17" t="s">
        <v>172</v>
      </c>
      <c r="BG21" s="17" t="s">
        <v>264</v>
      </c>
      <c r="BH21" s="16"/>
    </row>
    <row r="22" spans="1:60" ht="140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17" t="s">
        <v>123</v>
      </c>
      <c r="H22" s="17" t="s">
        <v>78</v>
      </c>
      <c r="I22" s="17" t="s">
        <v>84</v>
      </c>
      <c r="J22" s="17" t="s">
        <v>78</v>
      </c>
      <c r="K22" s="17" t="s">
        <v>265</v>
      </c>
      <c r="L22" s="17" t="s">
        <v>266</v>
      </c>
      <c r="M22" s="17" t="s">
        <v>206</v>
      </c>
      <c r="N22" s="17" t="s">
        <v>207</v>
      </c>
      <c r="O22" s="17" t="s">
        <v>207</v>
      </c>
      <c r="P22" s="17" t="s">
        <v>267</v>
      </c>
      <c r="Q22" s="17" t="s">
        <v>209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5</v>
      </c>
      <c r="Z22" s="17">
        <v>19.822983958059901</v>
      </c>
      <c r="AA22" s="16"/>
      <c r="AB22" s="16"/>
      <c r="AC22" s="16"/>
      <c r="AD22" s="16"/>
      <c r="AE22" s="16"/>
      <c r="AF22" s="16"/>
      <c r="AG22" s="16"/>
      <c r="AH22" s="17">
        <v>19.813989541959</v>
      </c>
      <c r="AI22" s="17">
        <v>19.822983958059901</v>
      </c>
      <c r="AJ22" s="17">
        <v>19.822983958059901</v>
      </c>
      <c r="AK22" s="17">
        <v>19.822983958059901</v>
      </c>
      <c r="AL22" s="17">
        <v>8.6851660162210499E-3</v>
      </c>
      <c r="AM22" s="17">
        <v>23.747537957970099</v>
      </c>
      <c r="AN22" s="17" t="s">
        <v>78</v>
      </c>
      <c r="AO22" s="17" t="s">
        <v>265</v>
      </c>
      <c r="AP22" s="17" t="s">
        <v>266</v>
      </c>
      <c r="AQ22" s="17" t="s">
        <v>206</v>
      </c>
      <c r="AR22" s="17" t="s">
        <v>207</v>
      </c>
      <c r="AS22" s="17" t="s">
        <v>207</v>
      </c>
      <c r="AT22" s="17" t="s">
        <v>267</v>
      </c>
      <c r="AU22" s="17" t="s">
        <v>209</v>
      </c>
      <c r="AV22" s="16"/>
      <c r="AW22" s="16"/>
      <c r="AX22" s="16"/>
      <c r="AY22" s="16"/>
      <c r="AZ22" s="17">
        <v>2.1</v>
      </c>
      <c r="BA22" s="17">
        <v>1</v>
      </c>
      <c r="BB22" s="17" t="s">
        <v>263</v>
      </c>
      <c r="BC22" s="17" t="s">
        <v>61</v>
      </c>
      <c r="BD22" s="16"/>
      <c r="BE22" s="17" t="s">
        <v>62</v>
      </c>
      <c r="BF22" s="17" t="s">
        <v>172</v>
      </c>
      <c r="BG22" s="17" t="s">
        <v>264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17" t="s">
        <v>164</v>
      </c>
      <c r="H23" s="17" t="s">
        <v>80</v>
      </c>
      <c r="I23" s="17" t="s">
        <v>84</v>
      </c>
      <c r="J23" s="17" t="s">
        <v>80</v>
      </c>
      <c r="K23" s="17" t="s">
        <v>268</v>
      </c>
      <c r="L23" s="17" t="s">
        <v>247</v>
      </c>
      <c r="M23" s="17" t="s">
        <v>87</v>
      </c>
      <c r="N23" s="17" t="s">
        <v>88</v>
      </c>
      <c r="O23" s="17" t="s">
        <v>88</v>
      </c>
      <c r="P23" s="17" t="s">
        <v>269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15</v>
      </c>
      <c r="Z23" s="17">
        <v>23.758402874926102</v>
      </c>
      <c r="AA23" s="16"/>
      <c r="AB23" s="16"/>
      <c r="AC23" s="16"/>
      <c r="AD23" s="16"/>
      <c r="AE23" s="16"/>
      <c r="AF23" s="16"/>
      <c r="AG23" s="16"/>
      <c r="AH23" s="17">
        <v>23.749606542056402</v>
      </c>
      <c r="AI23" s="17">
        <v>23.758402874926102</v>
      </c>
      <c r="AJ23" s="17">
        <v>23.758402874926102</v>
      </c>
      <c r="AK23" s="17">
        <v>23.758402874926102</v>
      </c>
      <c r="AL23" s="17">
        <v>1.8880420830100801E-3</v>
      </c>
      <c r="AM23" s="17">
        <v>27.497546750120801</v>
      </c>
      <c r="AN23" s="17" t="s">
        <v>80</v>
      </c>
      <c r="AO23" s="17" t="s">
        <v>268</v>
      </c>
      <c r="AP23" s="17" t="s">
        <v>247</v>
      </c>
      <c r="AQ23" s="17" t="s">
        <v>87</v>
      </c>
      <c r="AR23" s="17" t="s">
        <v>88</v>
      </c>
      <c r="AS23" s="17" t="s">
        <v>88</v>
      </c>
      <c r="AT23" s="17" t="s">
        <v>269</v>
      </c>
      <c r="AU23" s="17" t="s">
        <v>90</v>
      </c>
      <c r="AV23" s="16"/>
      <c r="AW23" s="16"/>
      <c r="AX23" s="16"/>
      <c r="AY23" s="16"/>
      <c r="AZ23" s="17">
        <v>2.1</v>
      </c>
      <c r="BA23" s="17">
        <v>1</v>
      </c>
      <c r="BB23" s="17" t="s">
        <v>263</v>
      </c>
      <c r="BC23" s="17" t="s">
        <v>61</v>
      </c>
      <c r="BD23" s="16"/>
      <c r="BE23" s="17" t="s">
        <v>62</v>
      </c>
      <c r="BF23" s="17" t="s">
        <v>172</v>
      </c>
      <c r="BG23" s="17" t="s">
        <v>264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160</v>
      </c>
      <c r="H24" s="22" t="s">
        <v>79</v>
      </c>
      <c r="I24" s="22" t="s">
        <v>84</v>
      </c>
      <c r="J24" s="23"/>
      <c r="K24" s="17" t="s">
        <v>270</v>
      </c>
      <c r="L24" s="17" t="s">
        <v>162</v>
      </c>
      <c r="M24" s="17" t="s">
        <v>87</v>
      </c>
      <c r="N24" s="17" t="s">
        <v>88</v>
      </c>
      <c r="O24" s="17" t="s">
        <v>88</v>
      </c>
      <c r="P24" s="17" t="s">
        <v>271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3</v>
      </c>
      <c r="Z24" s="17">
        <v>27.5087699580472</v>
      </c>
      <c r="AA24" s="16"/>
      <c r="AB24" s="16"/>
      <c r="AC24" s="16"/>
      <c r="AD24" s="16"/>
      <c r="AE24" s="16"/>
      <c r="AF24" s="16"/>
      <c r="AG24" s="16"/>
      <c r="AH24" s="17">
        <v>27.4996856669895</v>
      </c>
      <c r="AI24" s="17">
        <v>27.5087699580472</v>
      </c>
      <c r="AJ24" s="17">
        <v>27.5087699580472</v>
      </c>
      <c r="AK24" s="17">
        <v>27.5087699580472</v>
      </c>
      <c r="AL24" s="17">
        <v>2.0320829935371902E-3</v>
      </c>
      <c r="AM24" s="17">
        <v>35.296724083134897</v>
      </c>
      <c r="AN24" s="16"/>
      <c r="AO24" s="17" t="s">
        <v>270</v>
      </c>
      <c r="AP24" s="17" t="s">
        <v>162</v>
      </c>
      <c r="AQ24" s="17" t="s">
        <v>87</v>
      </c>
      <c r="AR24" s="17" t="s">
        <v>88</v>
      </c>
      <c r="AS24" s="17" t="s">
        <v>88</v>
      </c>
      <c r="AT24" s="17" t="s">
        <v>271</v>
      </c>
      <c r="AU24" s="17" t="s">
        <v>90</v>
      </c>
      <c r="AV24" s="16"/>
      <c r="AW24" s="16"/>
      <c r="AX24" s="16"/>
      <c r="AY24" s="16"/>
      <c r="AZ24" s="17">
        <v>2.1</v>
      </c>
      <c r="BA24" s="17">
        <v>1</v>
      </c>
      <c r="BB24" s="17" t="s">
        <v>263</v>
      </c>
      <c r="BC24" s="17" t="s">
        <v>61</v>
      </c>
      <c r="BD24" s="16"/>
      <c r="BE24" s="17" t="s">
        <v>62</v>
      </c>
      <c r="BF24" s="17" t="s">
        <v>172</v>
      </c>
      <c r="BG24" s="17" t="s">
        <v>264</v>
      </c>
      <c r="BH24" s="16"/>
    </row>
    <row r="25" spans="1:60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17" t="s">
        <v>106</v>
      </c>
      <c r="H25" s="17" t="s">
        <v>107</v>
      </c>
      <c r="I25" s="17" t="s">
        <v>96</v>
      </c>
      <c r="J25" s="17" t="s">
        <v>107</v>
      </c>
      <c r="K25" s="17" t="s">
        <v>270</v>
      </c>
      <c r="L25" s="17" t="s">
        <v>162</v>
      </c>
      <c r="M25" s="17" t="s">
        <v>87</v>
      </c>
      <c r="N25" s="17" t="s">
        <v>88</v>
      </c>
      <c r="O25" s="17" t="s">
        <v>88</v>
      </c>
      <c r="P25" s="17" t="s">
        <v>272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23</v>
      </c>
      <c r="Z25" s="17">
        <v>35.321247874991997</v>
      </c>
      <c r="AA25" s="16"/>
      <c r="AB25" s="16"/>
      <c r="AC25" s="16"/>
      <c r="AD25" s="16"/>
      <c r="AE25" s="16"/>
      <c r="AF25" s="16"/>
      <c r="AG25" s="16"/>
      <c r="AH25" s="17">
        <v>35.298638750100501</v>
      </c>
      <c r="AI25" s="17">
        <v>35.321247874991997</v>
      </c>
      <c r="AJ25" s="17">
        <v>35.321247874991997</v>
      </c>
      <c r="AK25" s="17">
        <v>35.321247874991997</v>
      </c>
      <c r="AL25" s="17">
        <v>1.8114999402314401E-3</v>
      </c>
      <c r="AM25" s="17">
        <v>37.980283916927903</v>
      </c>
      <c r="AN25" s="17" t="s">
        <v>107</v>
      </c>
      <c r="AO25" s="17" t="s">
        <v>270</v>
      </c>
      <c r="AP25" s="17" t="s">
        <v>162</v>
      </c>
      <c r="AQ25" s="17" t="s">
        <v>87</v>
      </c>
      <c r="AR25" s="17" t="s">
        <v>88</v>
      </c>
      <c r="AS25" s="17" t="s">
        <v>88</v>
      </c>
      <c r="AT25" s="17" t="s">
        <v>272</v>
      </c>
      <c r="AU25" s="17" t="s">
        <v>90</v>
      </c>
      <c r="AV25" s="16"/>
      <c r="AW25" s="16"/>
      <c r="AX25" s="16"/>
      <c r="AY25" s="16"/>
      <c r="AZ25" s="17">
        <v>2.1</v>
      </c>
      <c r="BA25" s="17">
        <v>1</v>
      </c>
      <c r="BB25" s="17" t="s">
        <v>263</v>
      </c>
      <c r="BC25" s="17" t="s">
        <v>61</v>
      </c>
      <c r="BD25" s="16"/>
      <c r="BE25" s="17" t="s">
        <v>62</v>
      </c>
      <c r="BF25" s="17" t="s">
        <v>172</v>
      </c>
      <c r="BG25" s="17" t="s">
        <v>264</v>
      </c>
      <c r="BH25" s="16"/>
    </row>
    <row r="26" spans="1:60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152</v>
      </c>
      <c r="H26" s="17" t="s">
        <v>153</v>
      </c>
      <c r="I26" s="17" t="s">
        <v>96</v>
      </c>
      <c r="J26" s="17" t="s">
        <v>153</v>
      </c>
      <c r="K26" s="17" t="s">
        <v>270</v>
      </c>
      <c r="L26" s="17" t="s">
        <v>162</v>
      </c>
      <c r="M26" s="17" t="s">
        <v>87</v>
      </c>
      <c r="N26" s="17" t="s">
        <v>88</v>
      </c>
      <c r="O26" s="17" t="s">
        <v>88</v>
      </c>
      <c r="P26" s="17" t="s">
        <v>273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20</v>
      </c>
      <c r="Z26" s="17">
        <v>37.992279875092201</v>
      </c>
      <c r="AA26" s="16"/>
      <c r="AB26" s="16"/>
      <c r="AC26" s="16"/>
      <c r="AD26" s="16"/>
      <c r="AE26" s="16"/>
      <c r="AF26" s="16"/>
      <c r="AG26" s="16"/>
      <c r="AH26" s="17">
        <v>37.982955957995699</v>
      </c>
      <c r="AI26" s="17">
        <v>37.992279875092201</v>
      </c>
      <c r="AJ26" s="17">
        <v>37.992279875092201</v>
      </c>
      <c r="AK26" s="17">
        <v>37.992279875092201</v>
      </c>
      <c r="AL26" s="17">
        <v>2.5807919446378899E-3</v>
      </c>
      <c r="AM26" s="17">
        <v>40.163767874939403</v>
      </c>
      <c r="AN26" s="17" t="s">
        <v>153</v>
      </c>
      <c r="AO26" s="17" t="s">
        <v>270</v>
      </c>
      <c r="AP26" s="17" t="s">
        <v>162</v>
      </c>
      <c r="AQ26" s="17" t="s">
        <v>87</v>
      </c>
      <c r="AR26" s="17" t="s">
        <v>88</v>
      </c>
      <c r="AS26" s="17" t="s">
        <v>88</v>
      </c>
      <c r="AT26" s="17" t="s">
        <v>273</v>
      </c>
      <c r="AU26" s="17" t="s">
        <v>90</v>
      </c>
      <c r="AV26" s="16"/>
      <c r="AW26" s="16"/>
      <c r="AX26" s="16"/>
      <c r="AY26" s="16"/>
      <c r="AZ26" s="17">
        <v>2.1</v>
      </c>
      <c r="BA26" s="17">
        <v>1</v>
      </c>
      <c r="BB26" s="17" t="s">
        <v>263</v>
      </c>
      <c r="BC26" s="17" t="s">
        <v>61</v>
      </c>
      <c r="BD26" s="16"/>
      <c r="BE26" s="17" t="s">
        <v>62</v>
      </c>
      <c r="BF26" s="17" t="s">
        <v>172</v>
      </c>
      <c r="BG26" s="17" t="s">
        <v>264</v>
      </c>
      <c r="BH26" s="16"/>
    </row>
    <row r="27" spans="1:60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94</v>
      </c>
      <c r="H27" s="17" t="s">
        <v>95</v>
      </c>
      <c r="I27" s="17" t="s">
        <v>96</v>
      </c>
      <c r="J27" s="17" t="s">
        <v>95</v>
      </c>
      <c r="K27" s="17" t="s">
        <v>270</v>
      </c>
      <c r="L27" s="17" t="s">
        <v>162</v>
      </c>
      <c r="M27" s="17" t="s">
        <v>87</v>
      </c>
      <c r="N27" s="17" t="s">
        <v>88</v>
      </c>
      <c r="O27" s="17" t="s">
        <v>88</v>
      </c>
      <c r="P27" s="17" t="s">
        <v>274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22</v>
      </c>
      <c r="Z27" s="17">
        <v>40.175405750051098</v>
      </c>
      <c r="AA27" s="16"/>
      <c r="AB27" s="16"/>
      <c r="AC27" s="16"/>
      <c r="AD27" s="16"/>
      <c r="AE27" s="16"/>
      <c r="AF27" s="16"/>
      <c r="AG27" s="16"/>
      <c r="AH27" s="17">
        <v>40.1657526250929</v>
      </c>
      <c r="AI27" s="17">
        <v>40.175405750051098</v>
      </c>
      <c r="AJ27" s="17">
        <v>40.175405750051098</v>
      </c>
      <c r="AK27" s="17">
        <v>40.175405750051098</v>
      </c>
      <c r="AL27" s="17">
        <v>1.8890840001404301E-3</v>
      </c>
      <c r="AM27" s="17">
        <v>44.1975322500803</v>
      </c>
      <c r="AN27" s="17" t="s">
        <v>95</v>
      </c>
      <c r="AO27" s="17" t="s">
        <v>270</v>
      </c>
      <c r="AP27" s="17" t="s">
        <v>162</v>
      </c>
      <c r="AQ27" s="17" t="s">
        <v>87</v>
      </c>
      <c r="AR27" s="17" t="s">
        <v>88</v>
      </c>
      <c r="AS27" s="17" t="s">
        <v>88</v>
      </c>
      <c r="AT27" s="17" t="s">
        <v>274</v>
      </c>
      <c r="AU27" s="17" t="s">
        <v>90</v>
      </c>
      <c r="AV27" s="16"/>
      <c r="AW27" s="16"/>
      <c r="AX27" s="16"/>
      <c r="AY27" s="16"/>
      <c r="AZ27" s="17">
        <v>2.1</v>
      </c>
      <c r="BA27" s="17">
        <v>1</v>
      </c>
      <c r="BB27" s="17" t="s">
        <v>263</v>
      </c>
      <c r="BC27" s="17" t="s">
        <v>61</v>
      </c>
      <c r="BD27" s="16"/>
      <c r="BE27" s="17" t="s">
        <v>62</v>
      </c>
      <c r="BF27" s="17" t="s">
        <v>172</v>
      </c>
      <c r="BG27" s="17" t="s">
        <v>264</v>
      </c>
      <c r="BH27" s="16"/>
    </row>
    <row r="28" spans="1:60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17" t="s">
        <v>144</v>
      </c>
      <c r="H28" s="17" t="s">
        <v>81</v>
      </c>
      <c r="I28" s="17" t="s">
        <v>84</v>
      </c>
      <c r="J28" s="17" t="s">
        <v>81</v>
      </c>
      <c r="K28" s="17" t="s">
        <v>270</v>
      </c>
      <c r="L28" s="17" t="s">
        <v>162</v>
      </c>
      <c r="M28" s="17" t="s">
        <v>87</v>
      </c>
      <c r="N28" s="17" t="s">
        <v>88</v>
      </c>
      <c r="O28" s="17" t="s">
        <v>88</v>
      </c>
      <c r="P28" s="17" t="s">
        <v>275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4</v>
      </c>
      <c r="Z28" s="17">
        <v>44.208471416961402</v>
      </c>
      <c r="AA28" s="16"/>
      <c r="AB28" s="16"/>
      <c r="AC28" s="16"/>
      <c r="AD28" s="16"/>
      <c r="AE28" s="16"/>
      <c r="AF28" s="16"/>
      <c r="AG28" s="16"/>
      <c r="AH28" s="17">
        <v>44.199364583007998</v>
      </c>
      <c r="AI28" s="17">
        <v>44.208471416961402</v>
      </c>
      <c r="AJ28" s="17">
        <v>44.208471416961402</v>
      </c>
      <c r="AK28" s="17">
        <v>44.208471416961402</v>
      </c>
      <c r="AL28" s="17">
        <v>1.7390409484505699E-3</v>
      </c>
      <c r="AM28" s="17">
        <v>47.180909249931602</v>
      </c>
      <c r="AN28" s="17" t="s">
        <v>81</v>
      </c>
      <c r="AO28" s="17" t="s">
        <v>270</v>
      </c>
      <c r="AP28" s="17" t="s">
        <v>162</v>
      </c>
      <c r="AQ28" s="17" t="s">
        <v>87</v>
      </c>
      <c r="AR28" s="17" t="s">
        <v>88</v>
      </c>
      <c r="AS28" s="17" t="s">
        <v>88</v>
      </c>
      <c r="AT28" s="17" t="s">
        <v>275</v>
      </c>
      <c r="AU28" s="17" t="s">
        <v>90</v>
      </c>
      <c r="AV28" s="16"/>
      <c r="AW28" s="16"/>
      <c r="AX28" s="16"/>
      <c r="AY28" s="16"/>
      <c r="AZ28" s="17">
        <v>2.1</v>
      </c>
      <c r="BA28" s="17">
        <v>1</v>
      </c>
      <c r="BB28" s="17" t="s">
        <v>263</v>
      </c>
      <c r="BC28" s="17" t="s">
        <v>61</v>
      </c>
      <c r="BD28" s="16"/>
      <c r="BE28" s="17" t="s">
        <v>62</v>
      </c>
      <c r="BF28" s="17" t="s">
        <v>172</v>
      </c>
      <c r="BG28" s="17" t="s">
        <v>264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167</v>
      </c>
      <c r="H29" s="22" t="s">
        <v>59</v>
      </c>
      <c r="I29" s="22" t="s">
        <v>84</v>
      </c>
      <c r="J29" s="23"/>
      <c r="K29" s="17" t="s">
        <v>93</v>
      </c>
      <c r="L29" s="17" t="s">
        <v>93</v>
      </c>
      <c r="M29" s="17" t="s">
        <v>93</v>
      </c>
      <c r="N29" s="17" t="s">
        <v>93</v>
      </c>
      <c r="O29" s="17" t="s">
        <v>93</v>
      </c>
      <c r="P29" s="17" t="s">
        <v>93</v>
      </c>
      <c r="Q29" s="17" t="s">
        <v>93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12</v>
      </c>
      <c r="Z29" s="17">
        <v>47.192406167043401</v>
      </c>
      <c r="AA29" s="16"/>
      <c r="AB29" s="16"/>
      <c r="AC29" s="16"/>
      <c r="AD29" s="16"/>
      <c r="AE29" s="16"/>
      <c r="AF29" s="16"/>
      <c r="AG29" s="16"/>
      <c r="AH29" s="17">
        <v>47.183398667024498</v>
      </c>
      <c r="AI29" s="17">
        <v>47.192406167043401</v>
      </c>
      <c r="AJ29" s="17">
        <v>47.192406167043401</v>
      </c>
      <c r="AK29" s="17">
        <v>47.192406167043401</v>
      </c>
      <c r="AL29" s="17">
        <v>2.39912490360439E-3</v>
      </c>
      <c r="AM29" s="17">
        <v>57.178353541996302</v>
      </c>
      <c r="AN29" s="16"/>
      <c r="AO29" s="17" t="s">
        <v>93</v>
      </c>
      <c r="AP29" s="17" t="s">
        <v>93</v>
      </c>
      <c r="AQ29" s="17" t="s">
        <v>93</v>
      </c>
      <c r="AR29" s="17" t="s">
        <v>93</v>
      </c>
      <c r="AS29" s="17" t="s">
        <v>93</v>
      </c>
      <c r="AT29" s="17" t="s">
        <v>93</v>
      </c>
      <c r="AU29" s="17" t="s">
        <v>93</v>
      </c>
      <c r="AV29" s="17">
        <v>57.187526124995202</v>
      </c>
      <c r="AW29" s="17">
        <v>57.187526124995202</v>
      </c>
      <c r="AX29" s="17">
        <v>57.187526124995202</v>
      </c>
      <c r="AY29" s="17">
        <v>9.9971967500168795</v>
      </c>
      <c r="AZ29" s="17">
        <v>2.1</v>
      </c>
      <c r="BA29" s="17">
        <v>1</v>
      </c>
      <c r="BB29" s="17" t="s">
        <v>263</v>
      </c>
      <c r="BC29" s="17" t="s">
        <v>61</v>
      </c>
      <c r="BD29" s="16"/>
      <c r="BE29" s="17" t="s">
        <v>62</v>
      </c>
      <c r="BF29" s="17" t="s">
        <v>172</v>
      </c>
      <c r="BG29" s="17" t="s">
        <v>264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22" t="s">
        <v>138</v>
      </c>
      <c r="H30" s="22" t="s">
        <v>139</v>
      </c>
      <c r="I30" s="22" t="s">
        <v>96</v>
      </c>
      <c r="J30" s="23"/>
      <c r="K30" s="17" t="s">
        <v>270</v>
      </c>
      <c r="L30" s="17" t="s">
        <v>162</v>
      </c>
      <c r="M30" s="17" t="s">
        <v>87</v>
      </c>
      <c r="N30" s="17" t="s">
        <v>88</v>
      </c>
      <c r="O30" s="17" t="s">
        <v>88</v>
      </c>
      <c r="P30" s="17" t="s">
        <v>276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21</v>
      </c>
      <c r="Z30" s="17">
        <v>57.187526124995202</v>
      </c>
      <c r="AA30" s="16"/>
      <c r="AB30" s="16"/>
      <c r="AC30" s="16"/>
      <c r="AD30" s="16"/>
      <c r="AE30" s="16"/>
      <c r="AF30" s="16"/>
      <c r="AG30" s="16"/>
      <c r="AH30" s="17">
        <v>57.180178292095697</v>
      </c>
      <c r="AI30" s="17">
        <v>57.187526124995202</v>
      </c>
      <c r="AJ30" s="17">
        <v>57.187526124995202</v>
      </c>
      <c r="AK30" s="17">
        <v>57.187526124995202</v>
      </c>
      <c r="AL30" s="17">
        <v>-8.2808290608227296E-4</v>
      </c>
      <c r="AM30" s="17">
        <v>58.397230291971901</v>
      </c>
      <c r="AN30" s="16"/>
      <c r="AO30" s="17" t="s">
        <v>270</v>
      </c>
      <c r="AP30" s="17" t="s">
        <v>162</v>
      </c>
      <c r="AQ30" s="17" t="s">
        <v>87</v>
      </c>
      <c r="AR30" s="17" t="s">
        <v>88</v>
      </c>
      <c r="AS30" s="17" t="s">
        <v>88</v>
      </c>
      <c r="AT30" s="17" t="s">
        <v>276</v>
      </c>
      <c r="AU30" s="17" t="s">
        <v>90</v>
      </c>
      <c r="AV30" s="16"/>
      <c r="AW30" s="16"/>
      <c r="AX30" s="16"/>
      <c r="AY30" s="16"/>
      <c r="AZ30" s="17">
        <v>2.1</v>
      </c>
      <c r="BA30" s="17">
        <v>1</v>
      </c>
      <c r="BB30" s="17" t="s">
        <v>263</v>
      </c>
      <c r="BC30" s="17" t="s">
        <v>61</v>
      </c>
      <c r="BD30" s="16"/>
      <c r="BE30" s="17" t="s">
        <v>62</v>
      </c>
      <c r="BF30" s="17" t="s">
        <v>172</v>
      </c>
      <c r="BG30" s="17" t="s">
        <v>264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114</v>
      </c>
      <c r="H31" s="17" t="s">
        <v>73</v>
      </c>
      <c r="I31" s="17" t="s">
        <v>84</v>
      </c>
      <c r="J31" s="17" t="s">
        <v>73</v>
      </c>
      <c r="K31" s="17" t="s">
        <v>270</v>
      </c>
      <c r="L31" s="17" t="s">
        <v>277</v>
      </c>
      <c r="M31" s="17" t="s">
        <v>87</v>
      </c>
      <c r="N31" s="17" t="s">
        <v>88</v>
      </c>
      <c r="O31" s="17" t="s">
        <v>88</v>
      </c>
      <c r="P31" s="17" t="s">
        <v>278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14</v>
      </c>
      <c r="Z31" s="17">
        <v>58.406813042005503</v>
      </c>
      <c r="AA31" s="16"/>
      <c r="AB31" s="16"/>
      <c r="AC31" s="16"/>
      <c r="AD31" s="16"/>
      <c r="AE31" s="16"/>
      <c r="AF31" s="16"/>
      <c r="AG31" s="16"/>
      <c r="AH31" s="17">
        <v>58.398877166910097</v>
      </c>
      <c r="AI31" s="17">
        <v>58.406813042005503</v>
      </c>
      <c r="AJ31" s="17">
        <v>58.406813042005503</v>
      </c>
      <c r="AK31" s="17">
        <v>58.406813042005503</v>
      </c>
      <c r="AL31" s="17">
        <v>1.56270805746317E-3</v>
      </c>
      <c r="AM31" s="17">
        <v>64.513831542106402</v>
      </c>
      <c r="AN31" s="17" t="s">
        <v>73</v>
      </c>
      <c r="AO31" s="17" t="s">
        <v>270</v>
      </c>
      <c r="AP31" s="17" t="s">
        <v>277</v>
      </c>
      <c r="AQ31" s="17" t="s">
        <v>87</v>
      </c>
      <c r="AR31" s="17" t="s">
        <v>88</v>
      </c>
      <c r="AS31" s="17" t="s">
        <v>88</v>
      </c>
      <c r="AT31" s="17" t="s">
        <v>278</v>
      </c>
      <c r="AU31" s="17" t="s">
        <v>90</v>
      </c>
      <c r="AV31" s="16"/>
      <c r="AW31" s="16"/>
      <c r="AX31" s="16"/>
      <c r="AY31" s="16"/>
      <c r="AZ31" s="17">
        <v>2.1</v>
      </c>
      <c r="BA31" s="17">
        <v>1</v>
      </c>
      <c r="BB31" s="17" t="s">
        <v>263</v>
      </c>
      <c r="BC31" s="17" t="s">
        <v>61</v>
      </c>
      <c r="BD31" s="16"/>
      <c r="BE31" s="17" t="s">
        <v>62</v>
      </c>
      <c r="BF31" s="17" t="s">
        <v>172</v>
      </c>
      <c r="BG31" s="17" t="s">
        <v>264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100</v>
      </c>
      <c r="H32" s="17" t="s">
        <v>68</v>
      </c>
      <c r="I32" s="17" t="s">
        <v>84</v>
      </c>
      <c r="J32" s="17" t="s">
        <v>68</v>
      </c>
      <c r="K32" s="17" t="s">
        <v>270</v>
      </c>
      <c r="L32" s="17" t="s">
        <v>277</v>
      </c>
      <c r="M32" s="17" t="s">
        <v>87</v>
      </c>
      <c r="N32" s="17" t="s">
        <v>88</v>
      </c>
      <c r="O32" s="17" t="s">
        <v>88</v>
      </c>
      <c r="P32" s="17" t="s">
        <v>279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17</v>
      </c>
      <c r="Z32" s="17">
        <v>64.525323792127907</v>
      </c>
      <c r="AA32" s="16"/>
      <c r="AB32" s="16"/>
      <c r="AC32" s="16"/>
      <c r="AD32" s="16"/>
      <c r="AE32" s="16"/>
      <c r="AF32" s="16"/>
      <c r="AG32" s="16"/>
      <c r="AH32" s="17">
        <v>64.516408458119301</v>
      </c>
      <c r="AI32" s="17">
        <v>64.525323792127907</v>
      </c>
      <c r="AJ32" s="17">
        <v>64.525323792127907</v>
      </c>
      <c r="AK32" s="17">
        <v>64.525323792127907</v>
      </c>
      <c r="AL32" s="17">
        <v>2.4832920171320399E-3</v>
      </c>
      <c r="AM32" s="17">
        <v>68.297014832962304</v>
      </c>
      <c r="AN32" s="17" t="s">
        <v>68</v>
      </c>
      <c r="AO32" s="17" t="s">
        <v>270</v>
      </c>
      <c r="AP32" s="17" t="s">
        <v>277</v>
      </c>
      <c r="AQ32" s="17" t="s">
        <v>87</v>
      </c>
      <c r="AR32" s="17" t="s">
        <v>88</v>
      </c>
      <c r="AS32" s="17" t="s">
        <v>88</v>
      </c>
      <c r="AT32" s="17" t="s">
        <v>279</v>
      </c>
      <c r="AU32" s="17" t="s">
        <v>90</v>
      </c>
      <c r="AV32" s="16"/>
      <c r="AW32" s="16"/>
      <c r="AX32" s="16"/>
      <c r="AY32" s="16"/>
      <c r="AZ32" s="17">
        <v>2.1</v>
      </c>
      <c r="BA32" s="17">
        <v>1</v>
      </c>
      <c r="BB32" s="17" t="s">
        <v>263</v>
      </c>
      <c r="BC32" s="17" t="s">
        <v>61</v>
      </c>
      <c r="BD32" s="16"/>
      <c r="BE32" s="17" t="s">
        <v>62</v>
      </c>
      <c r="BF32" s="17" t="s">
        <v>172</v>
      </c>
      <c r="BG32" s="17" t="s">
        <v>264</v>
      </c>
      <c r="BH32" s="16"/>
    </row>
    <row r="33" spans="1:60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22" t="s">
        <v>136</v>
      </c>
      <c r="H33" s="22" t="s">
        <v>69</v>
      </c>
      <c r="I33" s="22" t="s">
        <v>84</v>
      </c>
      <c r="J33" s="23"/>
      <c r="K33" s="17" t="s">
        <v>270</v>
      </c>
      <c r="L33" s="17" t="s">
        <v>277</v>
      </c>
      <c r="M33" s="17" t="s">
        <v>87</v>
      </c>
      <c r="N33" s="17" t="s">
        <v>88</v>
      </c>
      <c r="O33" s="17" t="s">
        <v>88</v>
      </c>
      <c r="P33" s="17" t="s">
        <v>280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8</v>
      </c>
      <c r="Z33" s="17">
        <v>68.308788832975594</v>
      </c>
      <c r="AA33" s="16"/>
      <c r="AB33" s="16"/>
      <c r="AC33" s="16"/>
      <c r="AD33" s="16"/>
      <c r="AE33" s="16"/>
      <c r="AF33" s="16"/>
      <c r="AG33" s="16"/>
      <c r="AH33" s="17">
        <v>68.2993115829304</v>
      </c>
      <c r="AI33" s="17">
        <v>68.308788832975594</v>
      </c>
      <c r="AJ33" s="17">
        <v>68.308788832975594</v>
      </c>
      <c r="AK33" s="17">
        <v>68.308788832975594</v>
      </c>
      <c r="AL33" s="17">
        <v>2.2007501684129199E-3</v>
      </c>
      <c r="AM33" s="17">
        <v>73.396972625050694</v>
      </c>
      <c r="AN33" s="16"/>
      <c r="AO33" s="17" t="s">
        <v>270</v>
      </c>
      <c r="AP33" s="17" t="s">
        <v>277</v>
      </c>
      <c r="AQ33" s="17" t="s">
        <v>87</v>
      </c>
      <c r="AR33" s="17" t="s">
        <v>88</v>
      </c>
      <c r="AS33" s="17" t="s">
        <v>88</v>
      </c>
      <c r="AT33" s="17" t="s">
        <v>280</v>
      </c>
      <c r="AU33" s="17" t="s">
        <v>90</v>
      </c>
      <c r="AV33" s="16"/>
      <c r="AW33" s="16"/>
      <c r="AX33" s="16"/>
      <c r="AY33" s="16"/>
      <c r="AZ33" s="17">
        <v>2.1</v>
      </c>
      <c r="BA33" s="17">
        <v>1</v>
      </c>
      <c r="BB33" s="17" t="s">
        <v>263</v>
      </c>
      <c r="BC33" s="17" t="s">
        <v>61</v>
      </c>
      <c r="BD33" s="16"/>
      <c r="BE33" s="17" t="s">
        <v>62</v>
      </c>
      <c r="BF33" s="17" t="s">
        <v>172</v>
      </c>
      <c r="BG33" s="17" t="s">
        <v>264</v>
      </c>
      <c r="BH33" s="16"/>
    </row>
    <row r="34" spans="1:60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133</v>
      </c>
      <c r="H34" s="17" t="s">
        <v>64</v>
      </c>
      <c r="I34" s="17" t="s">
        <v>84</v>
      </c>
      <c r="J34" s="17" t="s">
        <v>64</v>
      </c>
      <c r="K34" s="17" t="s">
        <v>270</v>
      </c>
      <c r="L34" s="17" t="s">
        <v>277</v>
      </c>
      <c r="M34" s="17" t="s">
        <v>87</v>
      </c>
      <c r="N34" s="17" t="s">
        <v>88</v>
      </c>
      <c r="O34" s="17" t="s">
        <v>88</v>
      </c>
      <c r="P34" s="17" t="s">
        <v>281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18</v>
      </c>
      <c r="Z34" s="17">
        <v>73.406833667075304</v>
      </c>
      <c r="AA34" s="16"/>
      <c r="AB34" s="16"/>
      <c r="AC34" s="16"/>
      <c r="AD34" s="16"/>
      <c r="AE34" s="16"/>
      <c r="AF34" s="16"/>
      <c r="AG34" s="16"/>
      <c r="AH34" s="17">
        <v>73.398867707932396</v>
      </c>
      <c r="AI34" s="17">
        <v>73.406833667075304</v>
      </c>
      <c r="AJ34" s="17">
        <v>73.406833667075304</v>
      </c>
      <c r="AK34" s="17">
        <v>73.406833667075304</v>
      </c>
      <c r="AL34" s="17">
        <v>1.79516687057912E-3</v>
      </c>
      <c r="AM34" s="17">
        <v>77.431316042086095</v>
      </c>
      <c r="AN34" s="17" t="s">
        <v>64</v>
      </c>
      <c r="AO34" s="17" t="s">
        <v>270</v>
      </c>
      <c r="AP34" s="17" t="s">
        <v>277</v>
      </c>
      <c r="AQ34" s="17" t="s">
        <v>87</v>
      </c>
      <c r="AR34" s="17" t="s">
        <v>88</v>
      </c>
      <c r="AS34" s="17" t="s">
        <v>88</v>
      </c>
      <c r="AT34" s="17" t="s">
        <v>281</v>
      </c>
      <c r="AU34" s="17" t="s">
        <v>90</v>
      </c>
      <c r="AV34" s="16"/>
      <c r="AW34" s="16"/>
      <c r="AX34" s="16"/>
      <c r="AY34" s="16"/>
      <c r="AZ34" s="17">
        <v>2.1</v>
      </c>
      <c r="BA34" s="17">
        <v>1</v>
      </c>
      <c r="BB34" s="17" t="s">
        <v>263</v>
      </c>
      <c r="BC34" s="17" t="s">
        <v>61</v>
      </c>
      <c r="BD34" s="16"/>
      <c r="BE34" s="17" t="s">
        <v>62</v>
      </c>
      <c r="BF34" s="17" t="s">
        <v>172</v>
      </c>
      <c r="BG34" s="17" t="s">
        <v>264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118</v>
      </c>
      <c r="H35" s="22" t="s">
        <v>75</v>
      </c>
      <c r="I35" s="22" t="s">
        <v>84</v>
      </c>
      <c r="J35" s="23"/>
      <c r="K35" s="17" t="s">
        <v>282</v>
      </c>
      <c r="L35" s="17" t="s">
        <v>283</v>
      </c>
      <c r="M35" s="17" t="s">
        <v>87</v>
      </c>
      <c r="N35" s="17" t="s">
        <v>88</v>
      </c>
      <c r="O35" s="17" t="s">
        <v>88</v>
      </c>
      <c r="P35" s="17" t="s">
        <v>284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7</v>
      </c>
      <c r="Z35" s="17">
        <v>77.442001332994593</v>
      </c>
      <c r="AA35" s="16"/>
      <c r="AB35" s="16"/>
      <c r="AC35" s="16"/>
      <c r="AD35" s="16"/>
      <c r="AE35" s="16"/>
      <c r="AF35" s="16"/>
      <c r="AG35" s="16"/>
      <c r="AH35" s="17">
        <v>77.433411499951006</v>
      </c>
      <c r="AI35" s="17">
        <v>77.442001332994593</v>
      </c>
      <c r="AJ35" s="17">
        <v>77.442001332994593</v>
      </c>
      <c r="AK35" s="17">
        <v>77.442001332994593</v>
      </c>
      <c r="AL35" s="17">
        <v>1.9932079594582302E-3</v>
      </c>
      <c r="AM35" s="17">
        <v>85.453597374958903</v>
      </c>
      <c r="AN35" s="16"/>
      <c r="AO35" s="17" t="s">
        <v>282</v>
      </c>
      <c r="AP35" s="17" t="s">
        <v>283</v>
      </c>
      <c r="AQ35" s="17" t="s">
        <v>87</v>
      </c>
      <c r="AR35" s="17" t="s">
        <v>88</v>
      </c>
      <c r="AS35" s="17" t="s">
        <v>88</v>
      </c>
      <c r="AT35" s="17" t="s">
        <v>284</v>
      </c>
      <c r="AU35" s="17" t="s">
        <v>90</v>
      </c>
      <c r="AV35" s="16"/>
      <c r="AW35" s="16"/>
      <c r="AX35" s="16"/>
      <c r="AY35" s="16"/>
      <c r="AZ35" s="17">
        <v>2.1</v>
      </c>
      <c r="BA35" s="17">
        <v>1</v>
      </c>
      <c r="BB35" s="17" t="s">
        <v>263</v>
      </c>
      <c r="BC35" s="17" t="s">
        <v>61</v>
      </c>
      <c r="BD35" s="16"/>
      <c r="BE35" s="17" t="s">
        <v>62</v>
      </c>
      <c r="BF35" s="17" t="s">
        <v>172</v>
      </c>
      <c r="BG35" s="17" t="s">
        <v>264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22" t="s">
        <v>120</v>
      </c>
      <c r="H36" s="22" t="s">
        <v>121</v>
      </c>
      <c r="I36" s="22" t="s">
        <v>96</v>
      </c>
      <c r="J36" s="22" t="s">
        <v>285</v>
      </c>
      <c r="K36" s="17" t="s">
        <v>282</v>
      </c>
      <c r="L36" s="17" t="s">
        <v>283</v>
      </c>
      <c r="M36" s="17" t="s">
        <v>87</v>
      </c>
      <c r="N36" s="17" t="s">
        <v>88</v>
      </c>
      <c r="O36" s="17" t="s">
        <v>88</v>
      </c>
      <c r="P36" s="17" t="s">
        <v>286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24</v>
      </c>
      <c r="Z36" s="17">
        <v>85.461231041932507</v>
      </c>
      <c r="AA36" s="16"/>
      <c r="AB36" s="16"/>
      <c r="AC36" s="16"/>
      <c r="AD36" s="16"/>
      <c r="AE36" s="16"/>
      <c r="AF36" s="16"/>
      <c r="AG36" s="16"/>
      <c r="AH36" s="17">
        <v>85.454861999955</v>
      </c>
      <c r="AI36" s="17">
        <v>85.461231041932507</v>
      </c>
      <c r="AJ36" s="17">
        <v>85.461231041932507</v>
      </c>
      <c r="AK36" s="17">
        <v>85.461231041932507</v>
      </c>
      <c r="AL36" s="17">
        <v>1.1939159594476199E-3</v>
      </c>
      <c r="AM36" s="17">
        <v>89.947689207969205</v>
      </c>
      <c r="AN36" s="17" t="s">
        <v>285</v>
      </c>
      <c r="AO36" s="17" t="s">
        <v>282</v>
      </c>
      <c r="AP36" s="17" t="s">
        <v>283</v>
      </c>
      <c r="AQ36" s="17" t="s">
        <v>87</v>
      </c>
      <c r="AR36" s="17" t="s">
        <v>88</v>
      </c>
      <c r="AS36" s="17" t="s">
        <v>88</v>
      </c>
      <c r="AT36" s="17" t="s">
        <v>286</v>
      </c>
      <c r="AU36" s="17" t="s">
        <v>90</v>
      </c>
      <c r="AV36" s="16"/>
      <c r="AW36" s="16"/>
      <c r="AX36" s="16"/>
      <c r="AY36" s="16"/>
      <c r="AZ36" s="17">
        <v>2.1</v>
      </c>
      <c r="BA36" s="17">
        <v>1</v>
      </c>
      <c r="BB36" s="17" t="s">
        <v>263</v>
      </c>
      <c r="BC36" s="17" t="s">
        <v>61</v>
      </c>
      <c r="BD36" s="16"/>
      <c r="BE36" s="17" t="s">
        <v>62</v>
      </c>
      <c r="BF36" s="17" t="s">
        <v>172</v>
      </c>
      <c r="BG36" s="17" t="s">
        <v>264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22" t="s">
        <v>104</v>
      </c>
      <c r="H37" s="22" t="s">
        <v>70</v>
      </c>
      <c r="I37" s="22" t="s">
        <v>84</v>
      </c>
      <c r="J37" s="23"/>
      <c r="K37" s="17" t="s">
        <v>270</v>
      </c>
      <c r="L37" s="17" t="s">
        <v>86</v>
      </c>
      <c r="M37" s="17" t="s">
        <v>87</v>
      </c>
      <c r="N37" s="17" t="s">
        <v>88</v>
      </c>
      <c r="O37" s="17" t="s">
        <v>88</v>
      </c>
      <c r="P37" s="17" t="s">
        <v>287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2</v>
      </c>
      <c r="Z37" s="17">
        <v>89.959024625131903</v>
      </c>
      <c r="AA37" s="16"/>
      <c r="AB37" s="16"/>
      <c r="AC37" s="16"/>
      <c r="AD37" s="16"/>
      <c r="AE37" s="16"/>
      <c r="AF37" s="16"/>
      <c r="AG37" s="16"/>
      <c r="AH37" s="17">
        <v>89.950197583064394</v>
      </c>
      <c r="AI37" s="17">
        <v>89.959024625131903</v>
      </c>
      <c r="AJ37" s="17">
        <v>89.959024625131903</v>
      </c>
      <c r="AK37" s="17">
        <v>89.959024625131903</v>
      </c>
      <c r="AL37" s="17">
        <v>2.4154589045792801E-3</v>
      </c>
      <c r="AM37" s="17">
        <v>93.496164333075299</v>
      </c>
      <c r="AN37" s="16"/>
      <c r="AO37" s="17" t="s">
        <v>270</v>
      </c>
      <c r="AP37" s="17" t="s">
        <v>86</v>
      </c>
      <c r="AQ37" s="17" t="s">
        <v>87</v>
      </c>
      <c r="AR37" s="17" t="s">
        <v>88</v>
      </c>
      <c r="AS37" s="17" t="s">
        <v>88</v>
      </c>
      <c r="AT37" s="17" t="s">
        <v>287</v>
      </c>
      <c r="AU37" s="17" t="s">
        <v>90</v>
      </c>
      <c r="AV37" s="16"/>
      <c r="AW37" s="16"/>
      <c r="AX37" s="16"/>
      <c r="AY37" s="16"/>
      <c r="AZ37" s="17">
        <v>2.1</v>
      </c>
      <c r="BA37" s="17">
        <v>1</v>
      </c>
      <c r="BB37" s="17" t="s">
        <v>263</v>
      </c>
      <c r="BC37" s="17" t="s">
        <v>61</v>
      </c>
      <c r="BD37" s="16"/>
      <c r="BE37" s="17" t="s">
        <v>62</v>
      </c>
      <c r="BF37" s="17" t="s">
        <v>172</v>
      </c>
      <c r="BG37" s="17" t="s">
        <v>264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169</v>
      </c>
      <c r="H38" s="22" t="s">
        <v>77</v>
      </c>
      <c r="I38" s="22" t="s">
        <v>84</v>
      </c>
      <c r="J38" s="23"/>
      <c r="K38" s="17" t="s">
        <v>288</v>
      </c>
      <c r="L38" s="17" t="s">
        <v>234</v>
      </c>
      <c r="M38" s="17" t="s">
        <v>87</v>
      </c>
      <c r="N38" s="17" t="s">
        <v>88</v>
      </c>
      <c r="O38" s="17" t="s">
        <v>88</v>
      </c>
      <c r="P38" s="17" t="s">
        <v>289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10</v>
      </c>
      <c r="Z38" s="17">
        <v>93.506313707912298</v>
      </c>
      <c r="AA38" s="16"/>
      <c r="AB38" s="16"/>
      <c r="AC38" s="16"/>
      <c r="AD38" s="16"/>
      <c r="AE38" s="16"/>
      <c r="AF38" s="16"/>
      <c r="AG38" s="16"/>
      <c r="AH38" s="17">
        <v>93.498339832993196</v>
      </c>
      <c r="AI38" s="17">
        <v>93.506313707912298</v>
      </c>
      <c r="AJ38" s="17">
        <v>93.506313707912298</v>
      </c>
      <c r="AK38" s="17">
        <v>93.506313707912298</v>
      </c>
      <c r="AL38" s="17">
        <v>2.0944159477949099E-3</v>
      </c>
      <c r="AM38" s="17">
        <v>97.679460207931697</v>
      </c>
      <c r="AN38" s="16"/>
      <c r="AO38" s="17" t="s">
        <v>288</v>
      </c>
      <c r="AP38" s="17" t="s">
        <v>234</v>
      </c>
      <c r="AQ38" s="17" t="s">
        <v>87</v>
      </c>
      <c r="AR38" s="17" t="s">
        <v>88</v>
      </c>
      <c r="AS38" s="17" t="s">
        <v>88</v>
      </c>
      <c r="AT38" s="17" t="s">
        <v>289</v>
      </c>
      <c r="AU38" s="17" t="s">
        <v>90</v>
      </c>
      <c r="AV38" s="16"/>
      <c r="AW38" s="16"/>
      <c r="AX38" s="16"/>
      <c r="AY38" s="16"/>
      <c r="AZ38" s="17">
        <v>2.1</v>
      </c>
      <c r="BA38" s="17">
        <v>1</v>
      </c>
      <c r="BB38" s="17" t="s">
        <v>263</v>
      </c>
      <c r="BC38" s="17" t="s">
        <v>61</v>
      </c>
      <c r="BD38" s="16"/>
      <c r="BE38" s="17" t="s">
        <v>62</v>
      </c>
      <c r="BF38" s="17" t="s">
        <v>172</v>
      </c>
      <c r="BG38" s="17" t="s">
        <v>264</v>
      </c>
      <c r="BH38" s="16"/>
    </row>
    <row r="39" spans="1:60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17" t="s">
        <v>131</v>
      </c>
      <c r="H39" s="17" t="s">
        <v>76</v>
      </c>
      <c r="I39" s="17" t="s">
        <v>84</v>
      </c>
      <c r="J39" s="17" t="s">
        <v>76</v>
      </c>
      <c r="K39" s="17" t="s">
        <v>288</v>
      </c>
      <c r="L39" s="17" t="s">
        <v>234</v>
      </c>
      <c r="M39" s="17" t="s">
        <v>87</v>
      </c>
      <c r="N39" s="17" t="s">
        <v>88</v>
      </c>
      <c r="O39" s="17" t="s">
        <v>88</v>
      </c>
      <c r="P39" s="17" t="s">
        <v>290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6</v>
      </c>
      <c r="Z39" s="17">
        <v>97.704353125067399</v>
      </c>
      <c r="AA39" s="16"/>
      <c r="AB39" s="16"/>
      <c r="AC39" s="16"/>
      <c r="AD39" s="16"/>
      <c r="AE39" s="16"/>
      <c r="AF39" s="16"/>
      <c r="AG39" s="16"/>
      <c r="AH39" s="17">
        <v>97.681457417085795</v>
      </c>
      <c r="AI39" s="17">
        <v>97.704353125067399</v>
      </c>
      <c r="AJ39" s="17">
        <v>97.704353125067399</v>
      </c>
      <c r="AK39" s="17">
        <v>97.704353125067399</v>
      </c>
      <c r="AL39" s="17">
        <v>1.9088331609964399E-3</v>
      </c>
      <c r="AM39" s="17">
        <v>100.678846792085</v>
      </c>
      <c r="AN39" s="17" t="s">
        <v>76</v>
      </c>
      <c r="AO39" s="17" t="s">
        <v>288</v>
      </c>
      <c r="AP39" s="17" t="s">
        <v>234</v>
      </c>
      <c r="AQ39" s="17" t="s">
        <v>87</v>
      </c>
      <c r="AR39" s="17" t="s">
        <v>88</v>
      </c>
      <c r="AS39" s="17" t="s">
        <v>88</v>
      </c>
      <c r="AT39" s="17" t="s">
        <v>290</v>
      </c>
      <c r="AU39" s="17" t="s">
        <v>90</v>
      </c>
      <c r="AV39" s="16"/>
      <c r="AW39" s="16"/>
      <c r="AX39" s="16"/>
      <c r="AY39" s="16"/>
      <c r="AZ39" s="17">
        <v>2.1</v>
      </c>
      <c r="BA39" s="17">
        <v>1</v>
      </c>
      <c r="BB39" s="17" t="s">
        <v>263</v>
      </c>
      <c r="BC39" s="17" t="s">
        <v>61</v>
      </c>
      <c r="BD39" s="16"/>
      <c r="BE39" s="17" t="s">
        <v>62</v>
      </c>
      <c r="BF39" s="17" t="s">
        <v>172</v>
      </c>
      <c r="BG39" s="17" t="s">
        <v>264</v>
      </c>
      <c r="BH39" s="16"/>
    </row>
    <row r="40" spans="1:60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17" t="s">
        <v>129</v>
      </c>
      <c r="H40" s="17" t="s">
        <v>72</v>
      </c>
      <c r="I40" s="17" t="s">
        <v>84</v>
      </c>
      <c r="J40" s="17" t="s">
        <v>72</v>
      </c>
      <c r="K40" s="17" t="s">
        <v>288</v>
      </c>
      <c r="L40" s="17" t="s">
        <v>234</v>
      </c>
      <c r="M40" s="17" t="s">
        <v>87</v>
      </c>
      <c r="N40" s="17" t="s">
        <v>88</v>
      </c>
      <c r="O40" s="17" t="s">
        <v>88</v>
      </c>
      <c r="P40" s="17" t="s">
        <v>291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0</v>
      </c>
      <c r="Z40" s="17">
        <v>100.691217000131</v>
      </c>
      <c r="AA40" s="16"/>
      <c r="AB40" s="16"/>
      <c r="AC40" s="16"/>
      <c r="AD40" s="16"/>
      <c r="AE40" s="16"/>
      <c r="AF40" s="16"/>
      <c r="AG40" s="16"/>
      <c r="AH40" s="17">
        <v>100.680950833019</v>
      </c>
      <c r="AI40" s="17">
        <v>100.691217000131</v>
      </c>
      <c r="AJ40" s="17">
        <v>100.691217000131</v>
      </c>
      <c r="AK40" s="17">
        <v>100.691217000131</v>
      </c>
      <c r="AL40" s="17">
        <v>2.0117089152336099E-3</v>
      </c>
      <c r="AM40" s="17">
        <v>102.74694529199</v>
      </c>
      <c r="AN40" s="17" t="s">
        <v>72</v>
      </c>
      <c r="AO40" s="17" t="s">
        <v>288</v>
      </c>
      <c r="AP40" s="17" t="s">
        <v>234</v>
      </c>
      <c r="AQ40" s="17" t="s">
        <v>87</v>
      </c>
      <c r="AR40" s="17" t="s">
        <v>88</v>
      </c>
      <c r="AS40" s="17" t="s">
        <v>88</v>
      </c>
      <c r="AT40" s="17" t="s">
        <v>291</v>
      </c>
      <c r="AU40" s="17" t="s">
        <v>90</v>
      </c>
      <c r="AV40" s="16"/>
      <c r="AW40" s="16"/>
      <c r="AX40" s="16"/>
      <c r="AY40" s="16"/>
      <c r="AZ40" s="17">
        <v>2.1</v>
      </c>
      <c r="BA40" s="17">
        <v>1</v>
      </c>
      <c r="BB40" s="17" t="s">
        <v>263</v>
      </c>
      <c r="BC40" s="17" t="s">
        <v>61</v>
      </c>
      <c r="BD40" s="16"/>
      <c r="BE40" s="17" t="s">
        <v>62</v>
      </c>
      <c r="BF40" s="17" t="s">
        <v>172</v>
      </c>
      <c r="BG40" s="17" t="s">
        <v>264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148</v>
      </c>
      <c r="H41" s="22" t="s">
        <v>74</v>
      </c>
      <c r="I41" s="22" t="s">
        <v>84</v>
      </c>
      <c r="J41" s="23"/>
      <c r="K41" s="17" t="s">
        <v>288</v>
      </c>
      <c r="L41" s="17" t="s">
        <v>234</v>
      </c>
      <c r="M41" s="17" t="s">
        <v>87</v>
      </c>
      <c r="N41" s="17" t="s">
        <v>88</v>
      </c>
      <c r="O41" s="17" t="s">
        <v>88</v>
      </c>
      <c r="P41" s="17" t="s">
        <v>292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13</v>
      </c>
      <c r="Z41" s="17">
        <v>102.758667957969</v>
      </c>
      <c r="AA41" s="16"/>
      <c r="AB41" s="16"/>
      <c r="AC41" s="16"/>
      <c r="AD41" s="16"/>
      <c r="AE41" s="16"/>
      <c r="AF41" s="16"/>
      <c r="AG41" s="16"/>
      <c r="AH41" s="17">
        <v>102.749041707953</v>
      </c>
      <c r="AI41" s="17">
        <v>102.758667957969</v>
      </c>
      <c r="AJ41" s="17">
        <v>102.758667957969</v>
      </c>
      <c r="AK41" s="17">
        <v>102.758667957969</v>
      </c>
      <c r="AL41" s="17">
        <v>2.0038338843733098E-3</v>
      </c>
      <c r="AM41" s="17">
        <v>108.279682707973</v>
      </c>
      <c r="AN41" s="16"/>
      <c r="AO41" s="17" t="s">
        <v>288</v>
      </c>
      <c r="AP41" s="17" t="s">
        <v>234</v>
      </c>
      <c r="AQ41" s="17" t="s">
        <v>87</v>
      </c>
      <c r="AR41" s="17" t="s">
        <v>88</v>
      </c>
      <c r="AS41" s="17" t="s">
        <v>88</v>
      </c>
      <c r="AT41" s="17" t="s">
        <v>292</v>
      </c>
      <c r="AU41" s="17" t="s">
        <v>90</v>
      </c>
      <c r="AV41" s="16"/>
      <c r="AW41" s="16"/>
      <c r="AX41" s="16"/>
      <c r="AY41" s="16"/>
      <c r="AZ41" s="17">
        <v>2.1</v>
      </c>
      <c r="BA41" s="17">
        <v>1</v>
      </c>
      <c r="BB41" s="17" t="s">
        <v>263</v>
      </c>
      <c r="BC41" s="17" t="s">
        <v>61</v>
      </c>
      <c r="BD41" s="16"/>
      <c r="BE41" s="17" t="s">
        <v>62</v>
      </c>
      <c r="BF41" s="17" t="s">
        <v>172</v>
      </c>
      <c r="BG41" s="17" t="s">
        <v>264</v>
      </c>
      <c r="BH41" s="16"/>
    </row>
    <row r="42" spans="1:60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125</v>
      </c>
      <c r="H42" s="22" t="s">
        <v>65</v>
      </c>
      <c r="I42" s="22" t="s">
        <v>84</v>
      </c>
      <c r="J42" s="22" t="s">
        <v>293</v>
      </c>
      <c r="K42" s="17" t="s">
        <v>288</v>
      </c>
      <c r="L42" s="17" t="s">
        <v>234</v>
      </c>
      <c r="M42" s="17" t="s">
        <v>87</v>
      </c>
      <c r="N42" s="17" t="s">
        <v>88</v>
      </c>
      <c r="O42" s="17" t="s">
        <v>88</v>
      </c>
      <c r="P42" s="17" t="s">
        <v>294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11</v>
      </c>
      <c r="Z42" s="17">
        <v>108.30426570796401</v>
      </c>
      <c r="AA42" s="16"/>
      <c r="AB42" s="16"/>
      <c r="AC42" s="16"/>
      <c r="AD42" s="16"/>
      <c r="AE42" s="16"/>
      <c r="AF42" s="16"/>
      <c r="AG42" s="16"/>
      <c r="AH42" s="17">
        <v>108.281339457957</v>
      </c>
      <c r="AI42" s="17">
        <v>108.30426570796401</v>
      </c>
      <c r="AJ42" s="17">
        <v>108.30426570796401</v>
      </c>
      <c r="AK42" s="17">
        <v>108.30426570796401</v>
      </c>
      <c r="AL42" s="17">
        <v>1.5746250282973101E-3</v>
      </c>
      <c r="AM42" s="17">
        <v>112.89707091706801</v>
      </c>
      <c r="AN42" s="17" t="s">
        <v>293</v>
      </c>
      <c r="AO42" s="17" t="s">
        <v>288</v>
      </c>
      <c r="AP42" s="17" t="s">
        <v>234</v>
      </c>
      <c r="AQ42" s="17" t="s">
        <v>87</v>
      </c>
      <c r="AR42" s="17" t="s">
        <v>88</v>
      </c>
      <c r="AS42" s="17" t="s">
        <v>88</v>
      </c>
      <c r="AT42" s="17" t="s">
        <v>294</v>
      </c>
      <c r="AU42" s="17" t="s">
        <v>90</v>
      </c>
      <c r="AV42" s="16"/>
      <c r="AW42" s="16"/>
      <c r="AX42" s="16"/>
      <c r="AY42" s="16"/>
      <c r="AZ42" s="17">
        <v>2.1</v>
      </c>
      <c r="BA42" s="17">
        <v>1</v>
      </c>
      <c r="BB42" s="17" t="s">
        <v>263</v>
      </c>
      <c r="BC42" s="17" t="s">
        <v>61</v>
      </c>
      <c r="BD42" s="16"/>
      <c r="BE42" s="17" t="s">
        <v>62</v>
      </c>
      <c r="BF42" s="17" t="s">
        <v>172</v>
      </c>
      <c r="BG42" s="17" t="s">
        <v>264</v>
      </c>
      <c r="BH42" s="16"/>
    </row>
    <row r="43" spans="1:60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91</v>
      </c>
      <c r="H43" s="17" t="s">
        <v>71</v>
      </c>
      <c r="I43" s="17" t="s">
        <v>84</v>
      </c>
      <c r="J43" s="17" t="s">
        <v>71</v>
      </c>
      <c r="K43" s="17" t="s">
        <v>288</v>
      </c>
      <c r="L43" s="17" t="s">
        <v>234</v>
      </c>
      <c r="M43" s="17" t="s">
        <v>87</v>
      </c>
      <c r="N43" s="17" t="s">
        <v>88</v>
      </c>
      <c r="O43" s="17" t="s">
        <v>88</v>
      </c>
      <c r="P43" s="17" t="s">
        <v>295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19</v>
      </c>
      <c r="Z43" s="17">
        <v>112.90871562506101</v>
      </c>
      <c r="AA43" s="16"/>
      <c r="AB43" s="16"/>
      <c r="AC43" s="16"/>
      <c r="AD43" s="16"/>
      <c r="AE43" s="16"/>
      <c r="AF43" s="16"/>
      <c r="AG43" s="16"/>
      <c r="AH43" s="17">
        <v>112.89948233310101</v>
      </c>
      <c r="AI43" s="17">
        <v>112.90871562506101</v>
      </c>
      <c r="AJ43" s="17">
        <v>112.90871562506101</v>
      </c>
      <c r="AK43" s="17">
        <v>112.90871562506101</v>
      </c>
      <c r="AL43" s="17">
        <v>2.3219999857246902E-3</v>
      </c>
      <c r="AM43" s="17">
        <v>117.614136333112</v>
      </c>
      <c r="AN43" s="17" t="s">
        <v>71</v>
      </c>
      <c r="AO43" s="17" t="s">
        <v>288</v>
      </c>
      <c r="AP43" s="17" t="s">
        <v>234</v>
      </c>
      <c r="AQ43" s="17" t="s">
        <v>87</v>
      </c>
      <c r="AR43" s="17" t="s">
        <v>88</v>
      </c>
      <c r="AS43" s="17" t="s">
        <v>88</v>
      </c>
      <c r="AT43" s="17" t="s">
        <v>295</v>
      </c>
      <c r="AU43" s="17" t="s">
        <v>90</v>
      </c>
      <c r="AV43" s="16"/>
      <c r="AW43" s="16"/>
      <c r="AX43" s="16"/>
      <c r="AY43" s="16"/>
      <c r="AZ43" s="17">
        <v>2.1</v>
      </c>
      <c r="BA43" s="17">
        <v>1</v>
      </c>
      <c r="BB43" s="17" t="s">
        <v>263</v>
      </c>
      <c r="BC43" s="17" t="s">
        <v>61</v>
      </c>
      <c r="BD43" s="16"/>
      <c r="BE43" s="17" t="s">
        <v>62</v>
      </c>
      <c r="BF43" s="17" t="s">
        <v>172</v>
      </c>
      <c r="BG43" s="17" t="s">
        <v>264</v>
      </c>
      <c r="BH43" s="16"/>
    </row>
    <row r="44" spans="1:60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 t="s">
        <v>157</v>
      </c>
      <c r="H44" s="22" t="s">
        <v>66</v>
      </c>
      <c r="I44" s="22" t="s">
        <v>84</v>
      </c>
      <c r="J44" s="23"/>
      <c r="K44" s="17" t="s">
        <v>288</v>
      </c>
      <c r="L44" s="17" t="s">
        <v>234</v>
      </c>
      <c r="M44" s="17" t="s">
        <v>87</v>
      </c>
      <c r="N44" s="17" t="s">
        <v>88</v>
      </c>
      <c r="O44" s="17" t="s">
        <v>88</v>
      </c>
      <c r="P44" s="17" t="s">
        <v>296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1</v>
      </c>
      <c r="Z44" s="17">
        <v>117.625278792111</v>
      </c>
      <c r="AA44" s="16"/>
      <c r="AB44" s="16"/>
      <c r="AC44" s="16"/>
      <c r="AD44" s="16"/>
      <c r="AE44" s="16"/>
      <c r="AF44" s="16"/>
      <c r="AG44" s="16"/>
      <c r="AH44" s="17">
        <v>117.61656712507801</v>
      </c>
      <c r="AI44" s="17">
        <v>117.625278792111</v>
      </c>
      <c r="AJ44" s="17">
        <v>117.625278792111</v>
      </c>
      <c r="AK44" s="17">
        <v>117.625278792111</v>
      </c>
      <c r="AL44" s="17">
        <v>2.3401249200105702E-3</v>
      </c>
      <c r="AM44" s="17">
        <v>120.829866208136</v>
      </c>
      <c r="AN44" s="16"/>
      <c r="AO44" s="17" t="s">
        <v>288</v>
      </c>
      <c r="AP44" s="17" t="s">
        <v>234</v>
      </c>
      <c r="AQ44" s="17" t="s">
        <v>87</v>
      </c>
      <c r="AR44" s="17" t="s">
        <v>88</v>
      </c>
      <c r="AS44" s="17" t="s">
        <v>88</v>
      </c>
      <c r="AT44" s="17" t="s">
        <v>296</v>
      </c>
      <c r="AU44" s="17" t="s">
        <v>90</v>
      </c>
      <c r="AV44" s="16"/>
      <c r="AW44" s="16"/>
      <c r="AX44" s="16"/>
      <c r="AY44" s="16"/>
      <c r="AZ44" s="17">
        <v>2.1</v>
      </c>
      <c r="BA44" s="17">
        <v>1</v>
      </c>
      <c r="BB44" s="17" t="s">
        <v>263</v>
      </c>
      <c r="BC44" s="17" t="s">
        <v>61</v>
      </c>
      <c r="BD44" s="16"/>
      <c r="BE44" s="17" t="s">
        <v>62</v>
      </c>
      <c r="BF44" s="17" t="s">
        <v>172</v>
      </c>
      <c r="BG44" s="17" t="s">
        <v>264</v>
      </c>
      <c r="BH44" s="16"/>
    </row>
    <row r="45" spans="1:60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17" t="s">
        <v>83</v>
      </c>
      <c r="H45" s="17" t="s">
        <v>82</v>
      </c>
      <c r="I45" s="17" t="s">
        <v>84</v>
      </c>
      <c r="J45" s="17" t="s">
        <v>82</v>
      </c>
      <c r="K45" s="17" t="s">
        <v>288</v>
      </c>
      <c r="L45" s="17" t="s">
        <v>234</v>
      </c>
      <c r="M45" s="17" t="s">
        <v>87</v>
      </c>
      <c r="N45" s="17" t="s">
        <v>88</v>
      </c>
      <c r="O45" s="17" t="s">
        <v>88</v>
      </c>
      <c r="P45" s="17" t="s">
        <v>297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9</v>
      </c>
      <c r="Z45" s="17">
        <v>120.83972841710801</v>
      </c>
      <c r="AA45" s="16"/>
      <c r="AB45" s="16"/>
      <c r="AC45" s="16"/>
      <c r="AD45" s="16"/>
      <c r="AE45" s="16"/>
      <c r="AF45" s="16"/>
      <c r="AG45" s="16"/>
      <c r="AH45" s="17">
        <v>120.831414541928</v>
      </c>
      <c r="AI45" s="17">
        <v>120.83972841710801</v>
      </c>
      <c r="AJ45" s="17">
        <v>120.83972841710801</v>
      </c>
      <c r="AK45" s="17">
        <v>120.83972841710801</v>
      </c>
      <c r="AL45" s="17">
        <v>1.47729204036295E-3</v>
      </c>
      <c r="AM45" s="17">
        <v>126.281251041917</v>
      </c>
      <c r="AN45" s="17" t="s">
        <v>82</v>
      </c>
      <c r="AO45" s="17" t="s">
        <v>288</v>
      </c>
      <c r="AP45" s="17" t="s">
        <v>234</v>
      </c>
      <c r="AQ45" s="17" t="s">
        <v>87</v>
      </c>
      <c r="AR45" s="17" t="s">
        <v>88</v>
      </c>
      <c r="AS45" s="17" t="s">
        <v>88</v>
      </c>
      <c r="AT45" s="17" t="s">
        <v>297</v>
      </c>
      <c r="AU45" s="17" t="s">
        <v>90</v>
      </c>
      <c r="AV45" s="16"/>
      <c r="AW45" s="16"/>
      <c r="AX45" s="16"/>
      <c r="AY45" s="16"/>
      <c r="AZ45" s="17">
        <v>2.1</v>
      </c>
      <c r="BA45" s="17">
        <v>1</v>
      </c>
      <c r="BB45" s="17" t="s">
        <v>263</v>
      </c>
      <c r="BC45" s="17" t="s">
        <v>61</v>
      </c>
      <c r="BD45" s="16"/>
      <c r="BE45" s="17" t="s">
        <v>62</v>
      </c>
      <c r="BF45" s="17" t="s">
        <v>172</v>
      </c>
      <c r="BG45" s="17" t="s">
        <v>264</v>
      </c>
      <c r="BH45" s="16"/>
    </row>
    <row r="46" spans="1:60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142</v>
      </c>
      <c r="H46" s="17" t="s">
        <v>67</v>
      </c>
      <c r="I46" s="17" t="s">
        <v>84</v>
      </c>
      <c r="J46" s="17" t="s">
        <v>67</v>
      </c>
      <c r="K46" s="17" t="s">
        <v>288</v>
      </c>
      <c r="L46" s="17" t="s">
        <v>234</v>
      </c>
      <c r="M46" s="17" t="s">
        <v>87</v>
      </c>
      <c r="N46" s="17" t="s">
        <v>88</v>
      </c>
      <c r="O46" s="17" t="s">
        <v>88</v>
      </c>
      <c r="P46" s="17" t="s">
        <v>298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16</v>
      </c>
      <c r="Z46" s="17">
        <v>126.29245041706599</v>
      </c>
      <c r="AA46" s="16"/>
      <c r="AB46" s="16"/>
      <c r="AC46" s="16"/>
      <c r="AD46" s="16"/>
      <c r="AE46" s="16"/>
      <c r="AF46" s="16"/>
      <c r="AG46" s="16"/>
      <c r="AH46" s="17">
        <v>126.283856166992</v>
      </c>
      <c r="AI46" s="17">
        <v>126.29245041706599</v>
      </c>
      <c r="AJ46" s="17">
        <v>126.29245041706599</v>
      </c>
      <c r="AK46" s="17">
        <v>126.29245041706599</v>
      </c>
      <c r="AL46" s="17">
        <v>2.5123751256614902E-3</v>
      </c>
      <c r="AM46" s="17">
        <v>129.59718800010199</v>
      </c>
      <c r="AN46" s="17" t="s">
        <v>67</v>
      </c>
      <c r="AO46" s="17" t="s">
        <v>288</v>
      </c>
      <c r="AP46" s="17" t="s">
        <v>234</v>
      </c>
      <c r="AQ46" s="17" t="s">
        <v>87</v>
      </c>
      <c r="AR46" s="17" t="s">
        <v>88</v>
      </c>
      <c r="AS46" s="17" t="s">
        <v>88</v>
      </c>
      <c r="AT46" s="17" t="s">
        <v>298</v>
      </c>
      <c r="AU46" s="17" t="s">
        <v>90</v>
      </c>
      <c r="AV46" s="16"/>
      <c r="AW46" s="16"/>
      <c r="AX46" s="16"/>
      <c r="AY46" s="16"/>
      <c r="AZ46" s="17">
        <v>2.1</v>
      </c>
      <c r="BA46" s="17">
        <v>1</v>
      </c>
      <c r="BB46" s="17" t="s">
        <v>263</v>
      </c>
      <c r="BC46" s="17" t="s">
        <v>61</v>
      </c>
      <c r="BD46" s="16"/>
      <c r="BE46" s="17" t="s">
        <v>62</v>
      </c>
      <c r="BF46" s="17" t="s">
        <v>172</v>
      </c>
      <c r="BG46" s="17" t="s">
        <v>264</v>
      </c>
      <c r="BH46" s="16"/>
    </row>
    <row r="48" spans="1:60" ht="14" x14ac:dyDescent="0.15">
      <c r="K48" s="19" t="s">
        <v>630</v>
      </c>
      <c r="L48" s="17" t="s">
        <v>639</v>
      </c>
      <c r="M48">
        <f>11/12</f>
        <v>0.91666666666666663</v>
      </c>
    </row>
    <row r="49" spans="11:13" ht="14" x14ac:dyDescent="0.15">
      <c r="K49" s="19" t="s">
        <v>631</v>
      </c>
      <c r="L49" s="17" t="s">
        <v>640</v>
      </c>
      <c r="M49">
        <f>3/3</f>
        <v>1</v>
      </c>
    </row>
    <row r="50" spans="11:13" x14ac:dyDescent="0.15">
      <c r="K50" s="1"/>
    </row>
    <row r="51" spans="11:13" x14ac:dyDescent="0.15">
      <c r="K51" s="19" t="s">
        <v>637</v>
      </c>
      <c r="M51">
        <f>M48-M49</f>
        <v>-8.333333333333337E-2</v>
      </c>
    </row>
    <row r="53" spans="11:13" x14ac:dyDescent="0.15">
      <c r="K53" s="19" t="s">
        <v>658</v>
      </c>
    </row>
    <row r="54" spans="11:13" x14ac:dyDescent="0.15">
      <c r="M54">
        <f>M51-'2 sleep'!M51</f>
        <v>-0.27450980392156865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F075-04E3-E64E-BA14-A1CC09D0B1CC}">
  <dimension ref="A1:BH51"/>
  <sheetViews>
    <sheetView topLeftCell="A40" workbookViewId="0">
      <selection activeCell="M51" sqref="M51"/>
    </sheetView>
  </sheetViews>
  <sheetFormatPr baseColWidth="10" defaultRowHeight="13" x14ac:dyDescent="0.15"/>
  <cols>
    <col min="11" max="11" width="26.6640625" customWidth="1"/>
    <col min="13" max="13" width="11.6640625" bestFit="1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81</v>
      </c>
      <c r="B2" s="17">
        <v>0</v>
      </c>
      <c r="C2" s="17">
        <v>0</v>
      </c>
      <c r="D2" s="17">
        <v>0</v>
      </c>
      <c r="E2" s="17">
        <v>1.1726618705036</v>
      </c>
      <c r="F2" s="17">
        <v>2.4672266670968401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4</v>
      </c>
      <c r="V2" s="16"/>
      <c r="W2" s="16"/>
      <c r="X2" s="16"/>
      <c r="Y2" s="16"/>
      <c r="Z2" s="17">
        <v>3.07529589626938E-2</v>
      </c>
      <c r="AA2" s="16"/>
      <c r="AB2" s="17">
        <v>1.5926334075629701E-2</v>
      </c>
      <c r="AC2" s="17">
        <v>3.07529589626938E-2</v>
      </c>
      <c r="AD2" s="17">
        <v>3.07529589626938E-2</v>
      </c>
      <c r="AE2" s="17">
        <v>2.4921357089187999</v>
      </c>
      <c r="AF2" s="17">
        <v>1.1726618705036</v>
      </c>
      <c r="AG2" s="17">
        <v>2.4672266670968401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>
        <v>3</v>
      </c>
      <c r="BA2" s="17">
        <v>1</v>
      </c>
      <c r="BB2" s="17" t="s">
        <v>299</v>
      </c>
      <c r="BC2" s="17" t="s">
        <v>61</v>
      </c>
      <c r="BD2" s="16"/>
      <c r="BE2" s="17" t="s">
        <v>62</v>
      </c>
      <c r="BF2" s="17" t="s">
        <v>172</v>
      </c>
      <c r="BG2" s="17" t="s">
        <v>300</v>
      </c>
      <c r="BH2" s="16"/>
    </row>
    <row r="3" spans="1:60" ht="56" x14ac:dyDescent="0.15">
      <c r="A3" s="15" t="s">
        <v>79</v>
      </c>
      <c r="B3" s="17">
        <v>1</v>
      </c>
      <c r="C3" s="17">
        <v>1</v>
      </c>
      <c r="D3" s="17">
        <v>0</v>
      </c>
      <c r="E3" s="17">
        <v>1.0431654676258999</v>
      </c>
      <c r="F3" s="17">
        <v>1.5877970419824099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3</v>
      </c>
      <c r="V3" s="16"/>
      <c r="W3" s="16"/>
      <c r="X3" s="16"/>
      <c r="Y3" s="16"/>
      <c r="Z3" s="17">
        <v>2.5019626670982702</v>
      </c>
      <c r="AA3" s="16"/>
      <c r="AB3" s="17">
        <v>2.4952177091036001</v>
      </c>
      <c r="AC3" s="17">
        <v>2.5019626670982702</v>
      </c>
      <c r="AD3" s="17">
        <v>2.5019626670982702</v>
      </c>
      <c r="AE3" s="17">
        <v>4.0920631249900898</v>
      </c>
      <c r="AF3" s="17">
        <v>1.0431654676258999</v>
      </c>
      <c r="AG3" s="17">
        <v>1.5877970419824099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>
        <v>3</v>
      </c>
      <c r="BA3" s="17">
        <v>1</v>
      </c>
      <c r="BB3" s="17" t="s">
        <v>299</v>
      </c>
      <c r="BC3" s="17" t="s">
        <v>61</v>
      </c>
      <c r="BD3" s="16"/>
      <c r="BE3" s="17" t="s">
        <v>62</v>
      </c>
      <c r="BF3" s="17" t="s">
        <v>172</v>
      </c>
      <c r="BG3" s="17" t="s">
        <v>300</v>
      </c>
      <c r="BH3" s="16"/>
    </row>
    <row r="4" spans="1:60" ht="56" x14ac:dyDescent="0.15">
      <c r="A4" s="15" t="s">
        <v>68</v>
      </c>
      <c r="B4" s="17">
        <v>2</v>
      </c>
      <c r="C4" s="17">
        <v>2</v>
      </c>
      <c r="D4" s="17">
        <v>0</v>
      </c>
      <c r="E4" s="17">
        <v>2.4604316546762601</v>
      </c>
      <c r="F4" s="17">
        <v>1.3723395001143199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17</v>
      </c>
      <c r="V4" s="16"/>
      <c r="W4" s="16"/>
      <c r="X4" s="16"/>
      <c r="Y4" s="16"/>
      <c r="Z4" s="17">
        <v>4.1005683341063603</v>
      </c>
      <c r="AA4" s="16"/>
      <c r="AB4" s="17">
        <v>4.0940030841156796</v>
      </c>
      <c r="AC4" s="17">
        <v>4.1005683341063603</v>
      </c>
      <c r="AD4" s="17">
        <v>4.1005683341063603</v>
      </c>
      <c r="AE4" s="17">
        <v>5.4753904589451903</v>
      </c>
      <c r="AF4" s="17">
        <v>2.4604316546762601</v>
      </c>
      <c r="AG4" s="17">
        <v>1.3723395001143199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>
        <v>3</v>
      </c>
      <c r="BA4" s="17">
        <v>1</v>
      </c>
      <c r="BB4" s="17" t="s">
        <v>299</v>
      </c>
      <c r="BC4" s="17" t="s">
        <v>61</v>
      </c>
      <c r="BD4" s="16"/>
      <c r="BE4" s="17" t="s">
        <v>62</v>
      </c>
      <c r="BF4" s="17" t="s">
        <v>172</v>
      </c>
      <c r="BG4" s="17" t="s">
        <v>300</v>
      </c>
      <c r="BH4" s="16"/>
    </row>
    <row r="5" spans="1:60" ht="56" x14ac:dyDescent="0.15">
      <c r="A5" s="15" t="s">
        <v>78</v>
      </c>
      <c r="B5" s="17">
        <v>3</v>
      </c>
      <c r="C5" s="17">
        <v>3</v>
      </c>
      <c r="D5" s="17">
        <v>0</v>
      </c>
      <c r="E5" s="17">
        <v>1.55755395683453</v>
      </c>
      <c r="F5" s="17">
        <v>1.2388925421982999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5</v>
      </c>
      <c r="V5" s="16"/>
      <c r="W5" s="16"/>
      <c r="X5" s="16"/>
      <c r="Y5" s="16"/>
      <c r="Z5" s="17">
        <v>5.4836834589950696</v>
      </c>
      <c r="AA5" s="16"/>
      <c r="AB5" s="17">
        <v>5.4772704169154203</v>
      </c>
      <c r="AC5" s="17">
        <v>5.4836834589950696</v>
      </c>
      <c r="AD5" s="17">
        <v>5.4836834589950696</v>
      </c>
      <c r="AE5" s="17">
        <v>6.7254470840562099</v>
      </c>
      <c r="AF5" s="17">
        <v>1.55755395683453</v>
      </c>
      <c r="AG5" s="17">
        <v>1.2388925421982999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>
        <v>3</v>
      </c>
      <c r="BA5" s="17">
        <v>1</v>
      </c>
      <c r="BB5" s="17" t="s">
        <v>299</v>
      </c>
      <c r="BC5" s="17" t="s">
        <v>61</v>
      </c>
      <c r="BD5" s="16"/>
      <c r="BE5" s="17" t="s">
        <v>62</v>
      </c>
      <c r="BF5" s="17" t="s">
        <v>172</v>
      </c>
      <c r="BG5" s="17" t="s">
        <v>300</v>
      </c>
      <c r="BH5" s="16"/>
    </row>
    <row r="6" spans="1:60" ht="56" x14ac:dyDescent="0.15">
      <c r="A6" s="15" t="s">
        <v>71</v>
      </c>
      <c r="B6" s="17">
        <v>4</v>
      </c>
      <c r="C6" s="17">
        <v>4</v>
      </c>
      <c r="D6" s="17">
        <v>0</v>
      </c>
      <c r="E6" s="17">
        <v>3.52158273381295</v>
      </c>
      <c r="F6" s="17">
        <v>1.7379353330470599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19</v>
      </c>
      <c r="V6" s="16"/>
      <c r="W6" s="16"/>
      <c r="X6" s="16"/>
      <c r="Y6" s="16"/>
      <c r="Z6" s="17">
        <v>6.7349452089983997</v>
      </c>
      <c r="AA6" s="16"/>
      <c r="AB6" s="17">
        <v>6.7284434998873603</v>
      </c>
      <c r="AC6" s="17">
        <v>6.7349452089983997</v>
      </c>
      <c r="AD6" s="17">
        <v>6.7349452089983997</v>
      </c>
      <c r="AE6" s="17">
        <v>8.4753684590105003</v>
      </c>
      <c r="AF6" s="17">
        <v>3.52158273381295</v>
      </c>
      <c r="AG6" s="17">
        <v>1.7379353330470599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>
        <v>3</v>
      </c>
      <c r="BA6" s="17">
        <v>1</v>
      </c>
      <c r="BB6" s="17" t="s">
        <v>299</v>
      </c>
      <c r="BC6" s="17" t="s">
        <v>61</v>
      </c>
      <c r="BD6" s="16"/>
      <c r="BE6" s="17" t="s">
        <v>62</v>
      </c>
      <c r="BF6" s="17" t="s">
        <v>172</v>
      </c>
      <c r="BG6" s="17" t="s">
        <v>300</v>
      </c>
      <c r="BH6" s="16"/>
    </row>
    <row r="7" spans="1:60" ht="56" x14ac:dyDescent="0.15">
      <c r="A7" s="15" t="s">
        <v>82</v>
      </c>
      <c r="B7" s="17">
        <v>5</v>
      </c>
      <c r="C7" s="17">
        <v>5</v>
      </c>
      <c r="D7" s="17">
        <v>0</v>
      </c>
      <c r="E7" s="17">
        <v>2</v>
      </c>
      <c r="F7" s="17">
        <v>3.0392033748794298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9</v>
      </c>
      <c r="V7" s="16"/>
      <c r="W7" s="16"/>
      <c r="X7" s="16"/>
      <c r="Y7" s="16"/>
      <c r="Z7" s="17">
        <v>8.4837767500430399</v>
      </c>
      <c r="AA7" s="16"/>
      <c r="AB7" s="17">
        <v>8.4771346249617601</v>
      </c>
      <c r="AC7" s="17">
        <v>8.4837767500430399</v>
      </c>
      <c r="AD7" s="17">
        <v>8.4837767500430399</v>
      </c>
      <c r="AE7" s="17">
        <v>11.525351583957701</v>
      </c>
      <c r="AF7" s="17">
        <v>2</v>
      </c>
      <c r="AG7" s="17">
        <v>3.0392033748794298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>
        <v>3</v>
      </c>
      <c r="BA7" s="17">
        <v>1</v>
      </c>
      <c r="BB7" s="17" t="s">
        <v>299</v>
      </c>
      <c r="BC7" s="17" t="s">
        <v>61</v>
      </c>
      <c r="BD7" s="16"/>
      <c r="BE7" s="17" t="s">
        <v>62</v>
      </c>
      <c r="BF7" s="17" t="s">
        <v>172</v>
      </c>
      <c r="BG7" s="17" t="s">
        <v>300</v>
      </c>
      <c r="BH7" s="16"/>
    </row>
    <row r="8" spans="1:60" ht="56" x14ac:dyDescent="0.15">
      <c r="A8" s="15" t="s">
        <v>76</v>
      </c>
      <c r="B8" s="17">
        <v>6</v>
      </c>
      <c r="C8" s="17">
        <v>6</v>
      </c>
      <c r="D8" s="17">
        <v>0</v>
      </c>
      <c r="E8" s="17">
        <v>1.86690647482014</v>
      </c>
      <c r="F8" s="17">
        <v>1.3219583330210301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6</v>
      </c>
      <c r="V8" s="16"/>
      <c r="W8" s="16"/>
      <c r="X8" s="16"/>
      <c r="Y8" s="16"/>
      <c r="Z8" s="17">
        <v>11.534636625088799</v>
      </c>
      <c r="AA8" s="16"/>
      <c r="AB8" s="17">
        <v>11.528061708901101</v>
      </c>
      <c r="AC8" s="17">
        <v>11.534636625088799</v>
      </c>
      <c r="AD8" s="17">
        <v>11.534636625088799</v>
      </c>
      <c r="AE8" s="17">
        <v>12.858219000045199</v>
      </c>
      <c r="AF8" s="17">
        <v>1.86690647482014</v>
      </c>
      <c r="AG8" s="17">
        <v>1.3219583330210301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>
        <v>3</v>
      </c>
      <c r="BA8" s="17">
        <v>1</v>
      </c>
      <c r="BB8" s="17" t="s">
        <v>299</v>
      </c>
      <c r="BC8" s="17" t="s">
        <v>61</v>
      </c>
      <c r="BD8" s="16"/>
      <c r="BE8" s="17" t="s">
        <v>62</v>
      </c>
      <c r="BF8" s="17" t="s">
        <v>172</v>
      </c>
      <c r="BG8" s="17" t="s">
        <v>300</v>
      </c>
      <c r="BH8" s="16"/>
    </row>
    <row r="9" spans="1:60" ht="56" x14ac:dyDescent="0.15">
      <c r="A9" s="15" t="s">
        <v>59</v>
      </c>
      <c r="B9" s="17">
        <v>7</v>
      </c>
      <c r="C9" s="17">
        <v>7</v>
      </c>
      <c r="D9" s="17">
        <v>0</v>
      </c>
      <c r="E9" s="17">
        <v>2.47841726618705</v>
      </c>
      <c r="F9" s="17">
        <v>1.28870208305307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12</v>
      </c>
      <c r="V9" s="16"/>
      <c r="W9" s="16"/>
      <c r="X9" s="16"/>
      <c r="Y9" s="16"/>
      <c r="Z9" s="17">
        <v>12.8678696251009</v>
      </c>
      <c r="AA9" s="16"/>
      <c r="AB9" s="17">
        <v>12.860916958889</v>
      </c>
      <c r="AC9" s="17">
        <v>12.8678696251009</v>
      </c>
      <c r="AD9" s="17">
        <v>12.8678696251009</v>
      </c>
      <c r="AE9" s="17">
        <v>14.158741791965401</v>
      </c>
      <c r="AF9" s="17">
        <v>2.47841726618705</v>
      </c>
      <c r="AG9" s="17">
        <v>1.28870208305307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>
        <v>3</v>
      </c>
      <c r="BA9" s="17">
        <v>1</v>
      </c>
      <c r="BB9" s="17" t="s">
        <v>299</v>
      </c>
      <c r="BC9" s="17" t="s">
        <v>61</v>
      </c>
      <c r="BD9" s="16"/>
      <c r="BE9" s="17" t="s">
        <v>62</v>
      </c>
      <c r="BF9" s="17" t="s">
        <v>172</v>
      </c>
      <c r="BG9" s="17" t="s">
        <v>300</v>
      </c>
      <c r="BH9" s="16"/>
    </row>
    <row r="10" spans="1:60" ht="56" x14ac:dyDescent="0.15">
      <c r="A10" s="15" t="s">
        <v>73</v>
      </c>
      <c r="B10" s="17">
        <v>8</v>
      </c>
      <c r="C10" s="17">
        <v>8</v>
      </c>
      <c r="D10" s="17">
        <v>0</v>
      </c>
      <c r="E10" s="17">
        <v>4.9568345323741001</v>
      </c>
      <c r="F10" s="17">
        <v>2.1056565418839499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14</v>
      </c>
      <c r="V10" s="16"/>
      <c r="W10" s="16"/>
      <c r="X10" s="16"/>
      <c r="Y10" s="16"/>
      <c r="Z10" s="17">
        <v>14.167232916923201</v>
      </c>
      <c r="AA10" s="16"/>
      <c r="AB10" s="17">
        <v>14.160632709041201</v>
      </c>
      <c r="AC10" s="17">
        <v>14.167232916923201</v>
      </c>
      <c r="AD10" s="17">
        <v>14.167232916923201</v>
      </c>
      <c r="AE10" s="17">
        <v>16.275341792032101</v>
      </c>
      <c r="AF10" s="17">
        <v>4.9568345323741001</v>
      </c>
      <c r="AG10" s="17">
        <v>2.1056565418839499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>
        <v>3</v>
      </c>
      <c r="BA10" s="17">
        <v>1</v>
      </c>
      <c r="BB10" s="17" t="s">
        <v>299</v>
      </c>
      <c r="BC10" s="17" t="s">
        <v>61</v>
      </c>
      <c r="BD10" s="16"/>
      <c r="BE10" s="17" t="s">
        <v>62</v>
      </c>
      <c r="BF10" s="17" t="s">
        <v>172</v>
      </c>
      <c r="BG10" s="17" t="s">
        <v>300</v>
      </c>
      <c r="BH10" s="16"/>
    </row>
    <row r="11" spans="1:60" ht="56" x14ac:dyDescent="0.15">
      <c r="A11" s="15" t="s">
        <v>77</v>
      </c>
      <c r="B11" s="17">
        <v>9</v>
      </c>
      <c r="C11" s="17">
        <v>9</v>
      </c>
      <c r="D11" s="17">
        <v>0</v>
      </c>
      <c r="E11" s="17">
        <v>4.0215827338129504</v>
      </c>
      <c r="F11" s="17">
        <v>1.4216637918725601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10</v>
      </c>
      <c r="V11" s="16"/>
      <c r="W11" s="16"/>
      <c r="X11" s="16"/>
      <c r="Y11" s="16"/>
      <c r="Z11" s="17">
        <v>16.284689042018702</v>
      </c>
      <c r="AA11" s="16"/>
      <c r="AB11" s="17">
        <v>16.278011125046799</v>
      </c>
      <c r="AC11" s="17">
        <v>16.284689042018702</v>
      </c>
      <c r="AD11" s="17">
        <v>16.284689042018702</v>
      </c>
      <c r="AE11" s="17">
        <v>17.708654999965798</v>
      </c>
      <c r="AF11" s="17">
        <v>4.0215827338129504</v>
      </c>
      <c r="AG11" s="17">
        <v>1.4216637918725601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>
        <v>3</v>
      </c>
      <c r="BA11" s="17">
        <v>1</v>
      </c>
      <c r="BB11" s="17" t="s">
        <v>299</v>
      </c>
      <c r="BC11" s="17" t="s">
        <v>61</v>
      </c>
      <c r="BD11" s="16"/>
      <c r="BE11" s="17" t="s">
        <v>62</v>
      </c>
      <c r="BF11" s="17" t="s">
        <v>172</v>
      </c>
      <c r="BG11" s="17" t="s">
        <v>300</v>
      </c>
      <c r="BH11" s="16"/>
    </row>
    <row r="12" spans="1:60" ht="56" x14ac:dyDescent="0.15">
      <c r="A12" s="15" t="s">
        <v>70</v>
      </c>
      <c r="B12" s="17">
        <v>10</v>
      </c>
      <c r="C12" s="17">
        <v>10</v>
      </c>
      <c r="D12" s="17">
        <v>0</v>
      </c>
      <c r="E12" s="17">
        <v>1.03237410071942</v>
      </c>
      <c r="F12" s="17">
        <v>1.5712888750713301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2</v>
      </c>
      <c r="V12" s="16"/>
      <c r="W12" s="16"/>
      <c r="X12" s="16"/>
      <c r="Y12" s="16"/>
      <c r="Z12" s="17">
        <v>17.718166874954498</v>
      </c>
      <c r="AA12" s="16"/>
      <c r="AB12" s="17">
        <v>17.711512499954601</v>
      </c>
      <c r="AC12" s="17">
        <v>17.718166874954498</v>
      </c>
      <c r="AD12" s="17">
        <v>17.718166874954498</v>
      </c>
      <c r="AE12" s="17">
        <v>19.291962458984901</v>
      </c>
      <c r="AF12" s="17">
        <v>1.03237410071942</v>
      </c>
      <c r="AG12" s="17">
        <v>1.5712888750713301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>
        <v>3</v>
      </c>
      <c r="BA12" s="17">
        <v>1</v>
      </c>
      <c r="BB12" s="17" t="s">
        <v>299</v>
      </c>
      <c r="BC12" s="17" t="s">
        <v>61</v>
      </c>
      <c r="BD12" s="16"/>
      <c r="BE12" s="17" t="s">
        <v>62</v>
      </c>
      <c r="BF12" s="17" t="s">
        <v>172</v>
      </c>
      <c r="BG12" s="17" t="s">
        <v>300</v>
      </c>
      <c r="BH12" s="16"/>
    </row>
    <row r="13" spans="1:60" ht="56" x14ac:dyDescent="0.15">
      <c r="A13" s="15" t="s">
        <v>74</v>
      </c>
      <c r="B13" s="17">
        <v>11</v>
      </c>
      <c r="C13" s="17">
        <v>11</v>
      </c>
      <c r="D13" s="17">
        <v>0</v>
      </c>
      <c r="E13" s="17">
        <v>5</v>
      </c>
      <c r="F13" s="17">
        <v>2.0726865001488499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13</v>
      </c>
      <c r="V13" s="16"/>
      <c r="W13" s="16"/>
      <c r="X13" s="16"/>
      <c r="Y13" s="16"/>
      <c r="Z13" s="17">
        <v>19.300123041961299</v>
      </c>
      <c r="AA13" s="16"/>
      <c r="AB13" s="17">
        <v>19.2936617920641</v>
      </c>
      <c r="AC13" s="17">
        <v>19.300123041961299</v>
      </c>
      <c r="AD13" s="17">
        <v>19.300123041961299</v>
      </c>
      <c r="AE13" s="17">
        <v>21.375309959054</v>
      </c>
      <c r="AF13" s="17">
        <v>5</v>
      </c>
      <c r="AG13" s="17">
        <v>2.0726865001488499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>
        <v>3</v>
      </c>
      <c r="BA13" s="17">
        <v>1</v>
      </c>
      <c r="BB13" s="17" t="s">
        <v>299</v>
      </c>
      <c r="BC13" s="17" t="s">
        <v>61</v>
      </c>
      <c r="BD13" s="16"/>
      <c r="BE13" s="17" t="s">
        <v>62</v>
      </c>
      <c r="BF13" s="17" t="s">
        <v>172</v>
      </c>
      <c r="BG13" s="17" t="s">
        <v>300</v>
      </c>
      <c r="BH13" s="16"/>
    </row>
    <row r="14" spans="1:60" ht="56" x14ac:dyDescent="0.15">
      <c r="A14" s="15" t="s">
        <v>64</v>
      </c>
      <c r="B14" s="17">
        <v>12</v>
      </c>
      <c r="C14" s="17">
        <v>12</v>
      </c>
      <c r="D14" s="17">
        <v>0</v>
      </c>
      <c r="E14" s="17">
        <v>3.9820143884892101</v>
      </c>
      <c r="F14" s="17">
        <v>1.70515387505293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18</v>
      </c>
      <c r="V14" s="16"/>
      <c r="W14" s="16"/>
      <c r="X14" s="16"/>
      <c r="Y14" s="16"/>
      <c r="Z14" s="17">
        <v>21.384491834091001</v>
      </c>
      <c r="AA14" s="16"/>
      <c r="AB14" s="17">
        <v>21.377848583972099</v>
      </c>
      <c r="AC14" s="17">
        <v>21.384491834091001</v>
      </c>
      <c r="AD14" s="17">
        <v>21.384491834091001</v>
      </c>
      <c r="AE14" s="17">
        <v>23.0919364590663</v>
      </c>
      <c r="AF14" s="17">
        <v>3.9820143884892101</v>
      </c>
      <c r="AG14" s="17">
        <v>1.70515387505293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>
        <v>3</v>
      </c>
      <c r="BA14" s="17">
        <v>1</v>
      </c>
      <c r="BB14" s="17" t="s">
        <v>299</v>
      </c>
      <c r="BC14" s="17" t="s">
        <v>61</v>
      </c>
      <c r="BD14" s="16"/>
      <c r="BE14" s="17" t="s">
        <v>62</v>
      </c>
      <c r="BF14" s="17" t="s">
        <v>172</v>
      </c>
      <c r="BG14" s="17" t="s">
        <v>300</v>
      </c>
      <c r="BH14" s="16"/>
    </row>
    <row r="15" spans="1:60" ht="56" x14ac:dyDescent="0.15">
      <c r="A15" s="15" t="s">
        <v>65</v>
      </c>
      <c r="B15" s="17">
        <v>13</v>
      </c>
      <c r="C15" s="17">
        <v>13</v>
      </c>
      <c r="D15" s="17">
        <v>0</v>
      </c>
      <c r="E15" s="17">
        <v>2.5071942446043201</v>
      </c>
      <c r="F15" s="17">
        <v>1.7224686669651399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11</v>
      </c>
      <c r="V15" s="16"/>
      <c r="W15" s="16"/>
      <c r="X15" s="16"/>
      <c r="Y15" s="16"/>
      <c r="Z15" s="17">
        <v>23.100490292068599</v>
      </c>
      <c r="AA15" s="16"/>
      <c r="AB15" s="17">
        <v>23.093761167023299</v>
      </c>
      <c r="AC15" s="17">
        <v>23.100490292068599</v>
      </c>
      <c r="AD15" s="17">
        <v>23.100490292068599</v>
      </c>
      <c r="AE15" s="17">
        <v>24.8253409590106</v>
      </c>
      <c r="AF15" s="17">
        <v>2.5071942446043201</v>
      </c>
      <c r="AG15" s="17">
        <v>1.7224686669651399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>
        <v>3</v>
      </c>
      <c r="BA15" s="17">
        <v>1</v>
      </c>
      <c r="BB15" s="17" t="s">
        <v>299</v>
      </c>
      <c r="BC15" s="17" t="s">
        <v>61</v>
      </c>
      <c r="BD15" s="16"/>
      <c r="BE15" s="17" t="s">
        <v>62</v>
      </c>
      <c r="BF15" s="17" t="s">
        <v>172</v>
      </c>
      <c r="BG15" s="17" t="s">
        <v>300</v>
      </c>
      <c r="BH15" s="16"/>
    </row>
    <row r="16" spans="1:60" ht="56" x14ac:dyDescent="0.15">
      <c r="A16" s="15" t="s">
        <v>66</v>
      </c>
      <c r="B16" s="17">
        <v>14</v>
      </c>
      <c r="C16" s="17">
        <v>14</v>
      </c>
      <c r="D16" s="17">
        <v>0</v>
      </c>
      <c r="E16" s="17">
        <v>1.0719424460431699</v>
      </c>
      <c r="F16" s="17">
        <v>1.3892057079356199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1</v>
      </c>
      <c r="V16" s="16"/>
      <c r="W16" s="16"/>
      <c r="X16" s="16"/>
      <c r="Y16" s="16"/>
      <c r="Z16" s="17">
        <v>24.833708500023899</v>
      </c>
      <c r="AA16" s="16"/>
      <c r="AB16" s="17">
        <v>24.827121292008101</v>
      </c>
      <c r="AC16" s="17">
        <v>24.833708500023899</v>
      </c>
      <c r="AD16" s="17">
        <v>24.833708500023899</v>
      </c>
      <c r="AE16" s="17">
        <v>26.2253053749446</v>
      </c>
      <c r="AF16" s="17">
        <v>1.0719424460431699</v>
      </c>
      <c r="AG16" s="17">
        <v>1.3892057079356199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>
        <v>3</v>
      </c>
      <c r="BA16" s="17">
        <v>1</v>
      </c>
      <c r="BB16" s="17" t="s">
        <v>299</v>
      </c>
      <c r="BC16" s="17" t="s">
        <v>61</v>
      </c>
      <c r="BD16" s="16"/>
      <c r="BE16" s="17" t="s">
        <v>62</v>
      </c>
      <c r="BF16" s="17" t="s">
        <v>172</v>
      </c>
      <c r="BG16" s="17" t="s">
        <v>300</v>
      </c>
      <c r="BH16" s="16"/>
    </row>
    <row r="17" spans="1:60" ht="56" x14ac:dyDescent="0.15">
      <c r="A17" s="15" t="s">
        <v>75</v>
      </c>
      <c r="B17" s="17">
        <v>15</v>
      </c>
      <c r="C17" s="17">
        <v>15</v>
      </c>
      <c r="D17" s="17">
        <v>0</v>
      </c>
      <c r="E17" s="17">
        <v>1.0719424460431699</v>
      </c>
      <c r="F17" s="17">
        <v>1.1723703329916999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7</v>
      </c>
      <c r="V17" s="16"/>
      <c r="W17" s="16"/>
      <c r="X17" s="16"/>
      <c r="Y17" s="16"/>
      <c r="Z17" s="17">
        <v>26.233858792111299</v>
      </c>
      <c r="AA17" s="16"/>
      <c r="AB17" s="17">
        <v>26.2271257920656</v>
      </c>
      <c r="AC17" s="17">
        <v>26.233858792111299</v>
      </c>
      <c r="AD17" s="17">
        <v>26.233858792111299</v>
      </c>
      <c r="AE17" s="17">
        <v>27.408644875045901</v>
      </c>
      <c r="AF17" s="17">
        <v>1.0719424460431699</v>
      </c>
      <c r="AG17" s="17">
        <v>1.1723703329916999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>
        <v>3</v>
      </c>
      <c r="BA17" s="17">
        <v>1</v>
      </c>
      <c r="BB17" s="17" t="s">
        <v>299</v>
      </c>
      <c r="BC17" s="17" t="s">
        <v>61</v>
      </c>
      <c r="BD17" s="16"/>
      <c r="BE17" s="17" t="s">
        <v>62</v>
      </c>
      <c r="BF17" s="17" t="s">
        <v>172</v>
      </c>
      <c r="BG17" s="17" t="s">
        <v>300</v>
      </c>
      <c r="BH17" s="16"/>
    </row>
    <row r="18" spans="1:60" ht="56" x14ac:dyDescent="0.15">
      <c r="A18" s="15" t="s">
        <v>67</v>
      </c>
      <c r="B18" s="17">
        <v>16</v>
      </c>
      <c r="C18" s="17">
        <v>16</v>
      </c>
      <c r="D18" s="17">
        <v>0</v>
      </c>
      <c r="E18" s="17">
        <v>2.35611510791367</v>
      </c>
      <c r="F18" s="17">
        <v>1.6392517921049099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16</v>
      </c>
      <c r="V18" s="16"/>
      <c r="W18" s="16"/>
      <c r="X18" s="16"/>
      <c r="Y18" s="16"/>
      <c r="Z18" s="17">
        <v>27.4168484590482</v>
      </c>
      <c r="AA18" s="16"/>
      <c r="AB18" s="17">
        <v>27.410352000035299</v>
      </c>
      <c r="AC18" s="17">
        <v>27.4168484590482</v>
      </c>
      <c r="AD18" s="17">
        <v>27.4168484590482</v>
      </c>
      <c r="AE18" s="17">
        <v>29.058606291888299</v>
      </c>
      <c r="AF18" s="17">
        <v>2.35611510791367</v>
      </c>
      <c r="AG18" s="17">
        <v>1.6392517921049099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>
        <v>3</v>
      </c>
      <c r="BA18" s="17">
        <v>1</v>
      </c>
      <c r="BB18" s="17" t="s">
        <v>299</v>
      </c>
      <c r="BC18" s="17" t="s">
        <v>61</v>
      </c>
      <c r="BD18" s="16"/>
      <c r="BE18" s="17" t="s">
        <v>62</v>
      </c>
      <c r="BF18" s="17" t="s">
        <v>172</v>
      </c>
      <c r="BG18" s="17" t="s">
        <v>300</v>
      </c>
      <c r="BH18" s="16"/>
    </row>
    <row r="19" spans="1:60" ht="56" x14ac:dyDescent="0.15">
      <c r="A19" s="15" t="s">
        <v>80</v>
      </c>
      <c r="B19" s="17">
        <v>17</v>
      </c>
      <c r="C19" s="17">
        <v>17</v>
      </c>
      <c r="D19" s="17">
        <v>0</v>
      </c>
      <c r="E19" s="17">
        <v>3.5971223021582701</v>
      </c>
      <c r="F19" s="17">
        <v>2.0724254581145898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15</v>
      </c>
      <c r="V19" s="16"/>
      <c r="W19" s="16"/>
      <c r="X19" s="16"/>
      <c r="Y19" s="16"/>
      <c r="Z19" s="17">
        <v>29.067199167097002</v>
      </c>
      <c r="AA19" s="16"/>
      <c r="AB19" s="17">
        <v>29.0605238340795</v>
      </c>
      <c r="AC19" s="17">
        <v>29.067199167097002</v>
      </c>
      <c r="AD19" s="17">
        <v>29.067199167097002</v>
      </c>
      <c r="AE19" s="17">
        <v>31.141964625101501</v>
      </c>
      <c r="AF19" s="17">
        <v>3.5971223021582701</v>
      </c>
      <c r="AG19" s="17">
        <v>2.0724254581145898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>
        <v>3</v>
      </c>
      <c r="BA19" s="17">
        <v>1</v>
      </c>
      <c r="BB19" s="17" t="s">
        <v>299</v>
      </c>
      <c r="BC19" s="17" t="s">
        <v>61</v>
      </c>
      <c r="BD19" s="16"/>
      <c r="BE19" s="17" t="s">
        <v>62</v>
      </c>
      <c r="BF19" s="17" t="s">
        <v>172</v>
      </c>
      <c r="BG19" s="17" t="s">
        <v>300</v>
      </c>
      <c r="BH19" s="16"/>
    </row>
    <row r="20" spans="1:60" ht="56" x14ac:dyDescent="0.15">
      <c r="A20" s="15" t="s">
        <v>72</v>
      </c>
      <c r="B20" s="17">
        <v>18</v>
      </c>
      <c r="C20" s="17">
        <v>18</v>
      </c>
      <c r="D20" s="17">
        <v>0</v>
      </c>
      <c r="E20" s="17">
        <v>1</v>
      </c>
      <c r="F20" s="17">
        <v>1.63956679194234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0</v>
      </c>
      <c r="V20" s="16"/>
      <c r="W20" s="16"/>
      <c r="X20" s="16"/>
      <c r="Y20" s="16"/>
      <c r="Z20" s="17">
        <v>31.150384000036901</v>
      </c>
      <c r="AA20" s="16"/>
      <c r="AB20" s="17">
        <v>31.143698167055799</v>
      </c>
      <c r="AC20" s="17">
        <v>31.150384000036901</v>
      </c>
      <c r="AD20" s="17">
        <v>31.150384000036901</v>
      </c>
      <c r="AE20" s="17">
        <v>32.791884541977197</v>
      </c>
      <c r="AF20" s="17">
        <v>1</v>
      </c>
      <c r="AG20" s="17">
        <v>1.63956679194234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>
        <v>3</v>
      </c>
      <c r="BA20" s="17">
        <v>1</v>
      </c>
      <c r="BB20" s="17" t="s">
        <v>299</v>
      </c>
      <c r="BC20" s="17" t="s">
        <v>61</v>
      </c>
      <c r="BD20" s="16"/>
      <c r="BE20" s="17" t="s">
        <v>62</v>
      </c>
      <c r="BF20" s="17" t="s">
        <v>172</v>
      </c>
      <c r="BG20" s="17" t="s">
        <v>300</v>
      </c>
      <c r="BH20" s="16"/>
    </row>
    <row r="21" spans="1:60" ht="56" x14ac:dyDescent="0.15">
      <c r="A21" s="15" t="s">
        <v>69</v>
      </c>
      <c r="B21" s="17">
        <v>19</v>
      </c>
      <c r="C21" s="17">
        <v>19</v>
      </c>
      <c r="D21" s="17">
        <v>0</v>
      </c>
      <c r="E21" s="17">
        <v>1</v>
      </c>
      <c r="F21" s="17">
        <v>2.1228187500964899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8</v>
      </c>
      <c r="V21" s="16"/>
      <c r="W21" s="16"/>
      <c r="X21" s="16"/>
      <c r="Y21" s="16"/>
      <c r="Z21" s="17">
        <v>32.800030624959597</v>
      </c>
      <c r="AA21" s="16"/>
      <c r="AB21" s="17">
        <v>32.793527541914997</v>
      </c>
      <c r="AC21" s="17">
        <v>32.800030624959597</v>
      </c>
      <c r="AD21" s="17">
        <v>32.800030624959597</v>
      </c>
      <c r="AE21" s="17">
        <v>34.925282417098103</v>
      </c>
      <c r="AF21" s="17">
        <v>1</v>
      </c>
      <c r="AG21" s="17">
        <v>2.1228187500964899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>
        <v>3</v>
      </c>
      <c r="BA21" s="17">
        <v>1</v>
      </c>
      <c r="BB21" s="17" t="s">
        <v>299</v>
      </c>
      <c r="BC21" s="17" t="s">
        <v>61</v>
      </c>
      <c r="BD21" s="16"/>
      <c r="BE21" s="17" t="s">
        <v>62</v>
      </c>
      <c r="BF21" s="17" t="s">
        <v>172</v>
      </c>
      <c r="BG21" s="17" t="s">
        <v>300</v>
      </c>
      <c r="BH21" s="16"/>
    </row>
    <row r="22" spans="1:60" ht="56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22" t="s">
        <v>94</v>
      </c>
      <c r="H22" s="22" t="s">
        <v>95</v>
      </c>
      <c r="I22" s="22" t="s">
        <v>96</v>
      </c>
      <c r="J22" s="23"/>
      <c r="K22" s="17" t="s">
        <v>93</v>
      </c>
      <c r="L22" s="17" t="s">
        <v>93</v>
      </c>
      <c r="M22" s="17" t="s">
        <v>93</v>
      </c>
      <c r="N22" s="17" t="s">
        <v>93</v>
      </c>
      <c r="O22" s="17" t="s">
        <v>93</v>
      </c>
      <c r="P22" s="17" t="s">
        <v>93</v>
      </c>
      <c r="Q22" s="17" t="s">
        <v>93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22</v>
      </c>
      <c r="Z22" s="17">
        <v>34.942579583963401</v>
      </c>
      <c r="AA22" s="16"/>
      <c r="AB22" s="16"/>
      <c r="AC22" s="16"/>
      <c r="AD22" s="16"/>
      <c r="AE22" s="16"/>
      <c r="AF22" s="16"/>
      <c r="AG22" s="16"/>
      <c r="AH22" s="17">
        <v>34.9339967500418</v>
      </c>
      <c r="AI22" s="17">
        <v>34.942579583963401</v>
      </c>
      <c r="AJ22" s="17">
        <v>34.942579583963401</v>
      </c>
      <c r="AK22" s="17">
        <v>34.942579583963401</v>
      </c>
      <c r="AL22" s="17">
        <v>8.7134172208607197E-3</v>
      </c>
      <c r="AM22" s="17">
        <v>44.932285124901703</v>
      </c>
      <c r="AN22" s="16"/>
      <c r="AO22" s="17" t="s">
        <v>93</v>
      </c>
      <c r="AP22" s="17" t="s">
        <v>93</v>
      </c>
      <c r="AQ22" s="17" t="s">
        <v>93</v>
      </c>
      <c r="AR22" s="17" t="s">
        <v>93</v>
      </c>
      <c r="AS22" s="17" t="s">
        <v>93</v>
      </c>
      <c r="AT22" s="17" t="s">
        <v>93</v>
      </c>
      <c r="AU22" s="17" t="s">
        <v>93</v>
      </c>
      <c r="AV22" s="16"/>
      <c r="AW22" s="16"/>
      <c r="AX22" s="16"/>
      <c r="AY22" s="16"/>
      <c r="AZ22" s="17">
        <v>3</v>
      </c>
      <c r="BA22" s="17">
        <v>1</v>
      </c>
      <c r="BB22" s="17" t="s">
        <v>299</v>
      </c>
      <c r="BC22" s="17" t="s">
        <v>61</v>
      </c>
      <c r="BD22" s="16"/>
      <c r="BE22" s="17" t="s">
        <v>62</v>
      </c>
      <c r="BF22" s="17" t="s">
        <v>172</v>
      </c>
      <c r="BG22" s="17" t="s">
        <v>300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17" t="s">
        <v>125</v>
      </c>
      <c r="H23" s="17" t="s">
        <v>65</v>
      </c>
      <c r="I23" s="17" t="s">
        <v>84</v>
      </c>
      <c r="J23" s="17" t="s">
        <v>65</v>
      </c>
      <c r="K23" s="17" t="s">
        <v>301</v>
      </c>
      <c r="L23" s="17" t="s">
        <v>229</v>
      </c>
      <c r="M23" s="17" t="s">
        <v>87</v>
      </c>
      <c r="N23" s="17" t="s">
        <v>88</v>
      </c>
      <c r="O23" s="17" t="s">
        <v>88</v>
      </c>
      <c r="P23" s="17" t="s">
        <v>302</v>
      </c>
      <c r="Q23" s="17" t="s">
        <v>303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11</v>
      </c>
      <c r="Z23" s="17">
        <v>44.942466459004201</v>
      </c>
      <c r="AA23" s="16"/>
      <c r="AB23" s="16"/>
      <c r="AC23" s="16"/>
      <c r="AD23" s="16"/>
      <c r="AE23" s="16"/>
      <c r="AF23" s="16"/>
      <c r="AG23" s="16"/>
      <c r="AH23" s="17">
        <v>44.934195749927298</v>
      </c>
      <c r="AI23" s="17">
        <v>44.942466459004201</v>
      </c>
      <c r="AJ23" s="17">
        <v>44.942466459004201</v>
      </c>
      <c r="AK23" s="17">
        <v>44.942466459004201</v>
      </c>
      <c r="AL23" s="17">
        <v>8.9124999940395407E-3</v>
      </c>
      <c r="AM23" s="17">
        <v>54.925114624900701</v>
      </c>
      <c r="AN23" s="17" t="s">
        <v>65</v>
      </c>
      <c r="AO23" s="17" t="s">
        <v>301</v>
      </c>
      <c r="AP23" s="17" t="s">
        <v>229</v>
      </c>
      <c r="AQ23" s="17" t="s">
        <v>87</v>
      </c>
      <c r="AR23" s="17" t="s">
        <v>88</v>
      </c>
      <c r="AS23" s="17" t="s">
        <v>88</v>
      </c>
      <c r="AT23" s="17" t="s">
        <v>302</v>
      </c>
      <c r="AU23" s="17" t="s">
        <v>303</v>
      </c>
      <c r="AV23" s="17">
        <v>54.936947792070001</v>
      </c>
      <c r="AW23" s="17">
        <v>54.936947792070001</v>
      </c>
      <c r="AX23" s="17">
        <v>54.936947792070001</v>
      </c>
      <c r="AY23" s="17">
        <v>9.9996488341130298</v>
      </c>
      <c r="AZ23" s="17">
        <v>3</v>
      </c>
      <c r="BA23" s="17">
        <v>1</v>
      </c>
      <c r="BB23" s="17" t="s">
        <v>299</v>
      </c>
      <c r="BC23" s="17" t="s">
        <v>61</v>
      </c>
      <c r="BD23" s="16"/>
      <c r="BE23" s="17" t="s">
        <v>62</v>
      </c>
      <c r="BF23" s="17" t="s">
        <v>172</v>
      </c>
      <c r="BG23" s="17" t="s">
        <v>300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17" t="s">
        <v>142</v>
      </c>
      <c r="H24" s="17" t="s">
        <v>67</v>
      </c>
      <c r="I24" s="17" t="s">
        <v>84</v>
      </c>
      <c r="J24" s="17" t="s">
        <v>304</v>
      </c>
      <c r="K24" s="17" t="s">
        <v>305</v>
      </c>
      <c r="L24" s="17" t="s">
        <v>306</v>
      </c>
      <c r="M24" s="17" t="s">
        <v>87</v>
      </c>
      <c r="N24" s="17" t="s">
        <v>88</v>
      </c>
      <c r="O24" s="17" t="s">
        <v>88</v>
      </c>
      <c r="P24" s="17" t="s">
        <v>307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16</v>
      </c>
      <c r="Z24" s="17">
        <v>54.936947792070001</v>
      </c>
      <c r="AA24" s="16"/>
      <c r="AB24" s="16"/>
      <c r="AC24" s="16"/>
      <c r="AD24" s="16"/>
      <c r="AE24" s="16"/>
      <c r="AF24" s="16"/>
      <c r="AG24" s="16"/>
      <c r="AH24" s="17">
        <v>54.927801209036303</v>
      </c>
      <c r="AI24" s="17">
        <v>54.936947792070001</v>
      </c>
      <c r="AJ24" s="17">
        <v>54.936947792070001</v>
      </c>
      <c r="AK24" s="17">
        <v>54.936947792070001</v>
      </c>
      <c r="AL24" s="17">
        <v>2.5219591334462201E-3</v>
      </c>
      <c r="AM24" s="17">
        <v>60.033550583990298</v>
      </c>
      <c r="AN24" s="17" t="s">
        <v>304</v>
      </c>
      <c r="AO24" s="17" t="s">
        <v>305</v>
      </c>
      <c r="AP24" s="17" t="s">
        <v>306</v>
      </c>
      <c r="AQ24" s="17" t="s">
        <v>87</v>
      </c>
      <c r="AR24" s="17" t="s">
        <v>88</v>
      </c>
      <c r="AS24" s="17" t="s">
        <v>88</v>
      </c>
      <c r="AT24" s="17" t="s">
        <v>307</v>
      </c>
      <c r="AU24" s="17" t="s">
        <v>90</v>
      </c>
      <c r="AV24" s="16"/>
      <c r="AW24" s="16"/>
      <c r="AX24" s="16"/>
      <c r="AY24" s="16"/>
      <c r="AZ24" s="17">
        <v>3</v>
      </c>
      <c r="BA24" s="17">
        <v>1</v>
      </c>
      <c r="BB24" s="17" t="s">
        <v>299</v>
      </c>
      <c r="BC24" s="17" t="s">
        <v>61</v>
      </c>
      <c r="BD24" s="16"/>
      <c r="BE24" s="17" t="s">
        <v>62</v>
      </c>
      <c r="BF24" s="17" t="s">
        <v>172</v>
      </c>
      <c r="BG24" s="17" t="s">
        <v>300</v>
      </c>
      <c r="BH24" s="16"/>
    </row>
    <row r="25" spans="1:60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22" t="s">
        <v>91</v>
      </c>
      <c r="H25" s="22" t="s">
        <v>71</v>
      </c>
      <c r="I25" s="22" t="s">
        <v>84</v>
      </c>
      <c r="J25" s="23"/>
      <c r="K25" s="17" t="s">
        <v>93</v>
      </c>
      <c r="L25" s="17" t="s">
        <v>93</v>
      </c>
      <c r="M25" s="17" t="s">
        <v>93</v>
      </c>
      <c r="N25" s="17" t="s">
        <v>93</v>
      </c>
      <c r="O25" s="17" t="s">
        <v>93</v>
      </c>
      <c r="P25" s="17" t="s">
        <v>93</v>
      </c>
      <c r="Q25" s="17" t="s">
        <v>93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19</v>
      </c>
      <c r="Z25" s="17">
        <v>60.0448027499951</v>
      </c>
      <c r="AA25" s="16"/>
      <c r="AB25" s="16"/>
      <c r="AC25" s="16"/>
      <c r="AD25" s="16"/>
      <c r="AE25" s="16"/>
      <c r="AF25" s="16"/>
      <c r="AG25" s="16"/>
      <c r="AH25" s="17">
        <v>60.035658333916203</v>
      </c>
      <c r="AI25" s="17">
        <v>60.0448027499951</v>
      </c>
      <c r="AJ25" s="17">
        <v>60.0448027499951</v>
      </c>
      <c r="AK25" s="17">
        <v>60.0448027499951</v>
      </c>
      <c r="AL25" s="17">
        <v>2.0165832247585102E-3</v>
      </c>
      <c r="AM25" s="17">
        <v>70.031898916931794</v>
      </c>
      <c r="AN25" s="16"/>
      <c r="AO25" s="17" t="s">
        <v>93</v>
      </c>
      <c r="AP25" s="17" t="s">
        <v>93</v>
      </c>
      <c r="AQ25" s="17" t="s">
        <v>93</v>
      </c>
      <c r="AR25" s="17" t="s">
        <v>93</v>
      </c>
      <c r="AS25" s="17" t="s">
        <v>93</v>
      </c>
      <c r="AT25" s="17" t="s">
        <v>93</v>
      </c>
      <c r="AU25" s="17" t="s">
        <v>93</v>
      </c>
      <c r="AV25" s="17">
        <v>70.041363584110499</v>
      </c>
      <c r="AW25" s="17">
        <v>70.041363584110499</v>
      </c>
      <c r="AX25" s="17">
        <v>70.041363584110499</v>
      </c>
      <c r="AY25" s="17">
        <v>9.9981017501559108</v>
      </c>
      <c r="AZ25" s="17">
        <v>3</v>
      </c>
      <c r="BA25" s="17">
        <v>1</v>
      </c>
      <c r="BB25" s="17" t="s">
        <v>299</v>
      </c>
      <c r="BC25" s="17" t="s">
        <v>61</v>
      </c>
      <c r="BD25" s="16"/>
      <c r="BE25" s="17" t="s">
        <v>62</v>
      </c>
      <c r="BF25" s="17" t="s">
        <v>172</v>
      </c>
      <c r="BG25" s="17" t="s">
        <v>300</v>
      </c>
      <c r="BH25" s="16"/>
    </row>
    <row r="26" spans="1:60" ht="98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123</v>
      </c>
      <c r="H26" s="17" t="s">
        <v>78</v>
      </c>
      <c r="I26" s="17" t="s">
        <v>84</v>
      </c>
      <c r="J26" s="17" t="s">
        <v>78</v>
      </c>
      <c r="K26" s="17" t="s">
        <v>308</v>
      </c>
      <c r="L26" s="17" t="s">
        <v>309</v>
      </c>
      <c r="M26" s="17" t="s">
        <v>110</v>
      </c>
      <c r="N26" s="17" t="s">
        <v>111</v>
      </c>
      <c r="O26" s="17" t="s">
        <v>111</v>
      </c>
      <c r="P26" s="17" t="s">
        <v>310</v>
      </c>
      <c r="Q26" s="17" t="s">
        <v>113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5</v>
      </c>
      <c r="Z26" s="17">
        <v>70.041363584110499</v>
      </c>
      <c r="AA26" s="16"/>
      <c r="AB26" s="16"/>
      <c r="AC26" s="16"/>
      <c r="AD26" s="16"/>
      <c r="AE26" s="16"/>
      <c r="AF26" s="16"/>
      <c r="AG26" s="16"/>
      <c r="AH26" s="17">
        <v>70.033692749915602</v>
      </c>
      <c r="AI26" s="17">
        <v>70.041363584110499</v>
      </c>
      <c r="AJ26" s="17">
        <v>70.041363584110499</v>
      </c>
      <c r="AK26" s="17">
        <v>70.041363584110499</v>
      </c>
      <c r="AL26" s="18">
        <v>5.0958013162016902E-5</v>
      </c>
      <c r="AM26" s="17">
        <v>73.1332722920924</v>
      </c>
      <c r="AN26" s="17" t="s">
        <v>78</v>
      </c>
      <c r="AO26" s="17" t="s">
        <v>308</v>
      </c>
      <c r="AP26" s="17" t="s">
        <v>309</v>
      </c>
      <c r="AQ26" s="17" t="s">
        <v>110</v>
      </c>
      <c r="AR26" s="17" t="s">
        <v>111</v>
      </c>
      <c r="AS26" s="17" t="s">
        <v>111</v>
      </c>
      <c r="AT26" s="17" t="s">
        <v>310</v>
      </c>
      <c r="AU26" s="17" t="s">
        <v>113</v>
      </c>
      <c r="AV26" s="16"/>
      <c r="AW26" s="16"/>
      <c r="AX26" s="16"/>
      <c r="AY26" s="16"/>
      <c r="AZ26" s="17">
        <v>3</v>
      </c>
      <c r="BA26" s="17">
        <v>1</v>
      </c>
      <c r="BB26" s="17" t="s">
        <v>299</v>
      </c>
      <c r="BC26" s="17" t="s">
        <v>61</v>
      </c>
      <c r="BD26" s="16"/>
      <c r="BE26" s="17" t="s">
        <v>62</v>
      </c>
      <c r="BF26" s="17" t="s">
        <v>172</v>
      </c>
      <c r="BG26" s="17" t="s">
        <v>300</v>
      </c>
      <c r="BH26" s="16"/>
    </row>
    <row r="27" spans="1:60" ht="112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100</v>
      </c>
      <c r="H27" s="17" t="s">
        <v>68</v>
      </c>
      <c r="I27" s="17" t="s">
        <v>84</v>
      </c>
      <c r="J27" s="17" t="s">
        <v>68</v>
      </c>
      <c r="K27" s="17" t="s">
        <v>311</v>
      </c>
      <c r="L27" s="17" t="s">
        <v>312</v>
      </c>
      <c r="M27" s="17" t="s">
        <v>110</v>
      </c>
      <c r="N27" s="17" t="s">
        <v>111</v>
      </c>
      <c r="O27" s="17" t="s">
        <v>111</v>
      </c>
      <c r="P27" s="17" t="s">
        <v>313</v>
      </c>
      <c r="Q27" s="17" t="s">
        <v>113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17</v>
      </c>
      <c r="Z27" s="17">
        <v>73.144262583926306</v>
      </c>
      <c r="AA27" s="16"/>
      <c r="AB27" s="16"/>
      <c r="AC27" s="16"/>
      <c r="AD27" s="16"/>
      <c r="AE27" s="16"/>
      <c r="AF27" s="16"/>
      <c r="AG27" s="16"/>
      <c r="AH27" s="17">
        <v>73.135340292006703</v>
      </c>
      <c r="AI27" s="17">
        <v>73.144262583926306</v>
      </c>
      <c r="AJ27" s="17">
        <v>73.144262583926306</v>
      </c>
      <c r="AK27" s="17">
        <v>73.144262583926306</v>
      </c>
      <c r="AL27" s="17">
        <v>1.9687500316649701E-3</v>
      </c>
      <c r="AM27" s="17">
        <v>78.116822249954595</v>
      </c>
      <c r="AN27" s="17" t="s">
        <v>68</v>
      </c>
      <c r="AO27" s="17" t="s">
        <v>311</v>
      </c>
      <c r="AP27" s="17" t="s">
        <v>312</v>
      </c>
      <c r="AQ27" s="17" t="s">
        <v>110</v>
      </c>
      <c r="AR27" s="17" t="s">
        <v>111</v>
      </c>
      <c r="AS27" s="17" t="s">
        <v>111</v>
      </c>
      <c r="AT27" s="17" t="s">
        <v>313</v>
      </c>
      <c r="AU27" s="17" t="s">
        <v>113</v>
      </c>
      <c r="AV27" s="16"/>
      <c r="AW27" s="16"/>
      <c r="AX27" s="16"/>
      <c r="AY27" s="16"/>
      <c r="AZ27" s="17">
        <v>3</v>
      </c>
      <c r="BA27" s="17">
        <v>1</v>
      </c>
      <c r="BB27" s="17" t="s">
        <v>299</v>
      </c>
      <c r="BC27" s="17" t="s">
        <v>61</v>
      </c>
      <c r="BD27" s="16"/>
      <c r="BE27" s="17" t="s">
        <v>62</v>
      </c>
      <c r="BF27" s="17" t="s">
        <v>172</v>
      </c>
      <c r="BG27" s="17" t="s">
        <v>300</v>
      </c>
      <c r="BH27" s="16"/>
    </row>
    <row r="28" spans="1:60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22" t="s">
        <v>148</v>
      </c>
      <c r="H28" s="22" t="s">
        <v>74</v>
      </c>
      <c r="I28" s="22" t="s">
        <v>84</v>
      </c>
      <c r="J28" s="22" t="s">
        <v>314</v>
      </c>
      <c r="K28" s="17" t="s">
        <v>93</v>
      </c>
      <c r="L28" s="17" t="s">
        <v>93</v>
      </c>
      <c r="M28" s="17" t="s">
        <v>93</v>
      </c>
      <c r="N28" s="17" t="s">
        <v>93</v>
      </c>
      <c r="O28" s="17" t="s">
        <v>93</v>
      </c>
      <c r="P28" s="17" t="s">
        <v>93</v>
      </c>
      <c r="Q28" s="17" t="s">
        <v>93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13</v>
      </c>
      <c r="Z28" s="17">
        <v>78.128222374944002</v>
      </c>
      <c r="AA28" s="16"/>
      <c r="AB28" s="16"/>
      <c r="AC28" s="16"/>
      <c r="AD28" s="16"/>
      <c r="AE28" s="16"/>
      <c r="AF28" s="16"/>
      <c r="AG28" s="16"/>
      <c r="AH28" s="17">
        <v>78.118928834097503</v>
      </c>
      <c r="AI28" s="17">
        <v>78.128222374944002</v>
      </c>
      <c r="AJ28" s="17">
        <v>78.128222374944002</v>
      </c>
      <c r="AK28" s="17">
        <v>78.128222374944002</v>
      </c>
      <c r="AL28" s="17">
        <v>1.9946659449487899E-3</v>
      </c>
      <c r="AM28" s="17">
        <v>88.116201791912303</v>
      </c>
      <c r="AN28" s="17" t="s">
        <v>314</v>
      </c>
      <c r="AO28" s="17" t="s">
        <v>93</v>
      </c>
      <c r="AP28" s="17" t="s">
        <v>93</v>
      </c>
      <c r="AQ28" s="17" t="s">
        <v>93</v>
      </c>
      <c r="AR28" s="17" t="s">
        <v>93</v>
      </c>
      <c r="AS28" s="17" t="s">
        <v>93</v>
      </c>
      <c r="AT28" s="17" t="s">
        <v>93</v>
      </c>
      <c r="AU28" s="17" t="s">
        <v>93</v>
      </c>
      <c r="AV28" s="17">
        <v>88.136101749958499</v>
      </c>
      <c r="AW28" s="17">
        <v>88.136101749958499</v>
      </c>
      <c r="AX28" s="17">
        <v>88.136101749958499</v>
      </c>
      <c r="AY28" s="17">
        <v>9.9986855408642406</v>
      </c>
      <c r="AZ28" s="17">
        <v>3</v>
      </c>
      <c r="BA28" s="17">
        <v>1</v>
      </c>
      <c r="BB28" s="17" t="s">
        <v>299</v>
      </c>
      <c r="BC28" s="17" t="s">
        <v>61</v>
      </c>
      <c r="BD28" s="16"/>
      <c r="BE28" s="17" t="s">
        <v>62</v>
      </c>
      <c r="BF28" s="17" t="s">
        <v>172</v>
      </c>
      <c r="BG28" s="17" t="s">
        <v>300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152</v>
      </c>
      <c r="H29" s="22" t="s">
        <v>153</v>
      </c>
      <c r="I29" s="22" t="s">
        <v>96</v>
      </c>
      <c r="J29" s="23"/>
      <c r="K29" s="17" t="s">
        <v>315</v>
      </c>
      <c r="L29" s="17" t="s">
        <v>244</v>
      </c>
      <c r="M29" s="17" t="s">
        <v>87</v>
      </c>
      <c r="N29" s="17" t="s">
        <v>88</v>
      </c>
      <c r="O29" s="17" t="s">
        <v>88</v>
      </c>
      <c r="P29" s="17" t="s">
        <v>316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20</v>
      </c>
      <c r="Z29" s="17">
        <v>88.136101749958499</v>
      </c>
      <c r="AA29" s="16"/>
      <c r="AB29" s="16"/>
      <c r="AC29" s="16"/>
      <c r="AD29" s="16"/>
      <c r="AE29" s="16"/>
      <c r="AF29" s="16"/>
      <c r="AG29" s="16"/>
      <c r="AH29" s="17">
        <v>88.118462875019802</v>
      </c>
      <c r="AI29" s="17">
        <v>88.136101749958499</v>
      </c>
      <c r="AJ29" s="17">
        <v>88.136101749958499</v>
      </c>
      <c r="AK29" s="17">
        <v>88.136101749958499</v>
      </c>
      <c r="AL29" s="17">
        <v>1.52399996295571E-3</v>
      </c>
      <c r="AM29" s="17">
        <v>95.4157390000764</v>
      </c>
      <c r="AN29" s="16"/>
      <c r="AO29" s="17" t="s">
        <v>315</v>
      </c>
      <c r="AP29" s="17" t="s">
        <v>244</v>
      </c>
      <c r="AQ29" s="17" t="s">
        <v>87</v>
      </c>
      <c r="AR29" s="17" t="s">
        <v>88</v>
      </c>
      <c r="AS29" s="17" t="s">
        <v>88</v>
      </c>
      <c r="AT29" s="17" t="s">
        <v>316</v>
      </c>
      <c r="AU29" s="17" t="s">
        <v>90</v>
      </c>
      <c r="AV29" s="16"/>
      <c r="AW29" s="16"/>
      <c r="AX29" s="16"/>
      <c r="AY29" s="16"/>
      <c r="AZ29" s="17">
        <v>3</v>
      </c>
      <c r="BA29" s="17">
        <v>1</v>
      </c>
      <c r="BB29" s="17" t="s">
        <v>299</v>
      </c>
      <c r="BC29" s="17" t="s">
        <v>61</v>
      </c>
      <c r="BD29" s="16"/>
      <c r="BE29" s="17" t="s">
        <v>62</v>
      </c>
      <c r="BF29" s="17" t="s">
        <v>172</v>
      </c>
      <c r="BG29" s="17" t="s">
        <v>300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17" t="s">
        <v>133</v>
      </c>
      <c r="H30" s="17" t="s">
        <v>64</v>
      </c>
      <c r="I30" s="17" t="s">
        <v>84</v>
      </c>
      <c r="J30" s="17" t="s">
        <v>64</v>
      </c>
      <c r="K30" s="17" t="s">
        <v>317</v>
      </c>
      <c r="L30" s="17" t="s">
        <v>234</v>
      </c>
      <c r="M30" s="17" t="s">
        <v>87</v>
      </c>
      <c r="N30" s="17" t="s">
        <v>88</v>
      </c>
      <c r="O30" s="17" t="s">
        <v>88</v>
      </c>
      <c r="P30" s="17" t="s">
        <v>318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18</v>
      </c>
      <c r="Z30" s="17">
        <v>95.424748334102304</v>
      </c>
      <c r="AA30" s="16"/>
      <c r="AB30" s="16"/>
      <c r="AC30" s="16"/>
      <c r="AD30" s="16"/>
      <c r="AE30" s="16"/>
      <c r="AF30" s="16"/>
      <c r="AG30" s="16"/>
      <c r="AH30" s="17">
        <v>95.417616874910905</v>
      </c>
      <c r="AI30" s="17">
        <v>95.424748334102304</v>
      </c>
      <c r="AJ30" s="17">
        <v>95.424748334102304</v>
      </c>
      <c r="AK30" s="17">
        <v>95.424748334102304</v>
      </c>
      <c r="AL30" s="17">
        <v>1.7940001562237701E-3</v>
      </c>
      <c r="AM30" s="17">
        <v>101.916625875048</v>
      </c>
      <c r="AN30" s="17" t="s">
        <v>64</v>
      </c>
      <c r="AO30" s="17" t="s">
        <v>317</v>
      </c>
      <c r="AP30" s="17" t="s">
        <v>234</v>
      </c>
      <c r="AQ30" s="17" t="s">
        <v>87</v>
      </c>
      <c r="AR30" s="17" t="s">
        <v>88</v>
      </c>
      <c r="AS30" s="17" t="s">
        <v>88</v>
      </c>
      <c r="AT30" s="17" t="s">
        <v>318</v>
      </c>
      <c r="AU30" s="17" t="s">
        <v>90</v>
      </c>
      <c r="AV30" s="16"/>
      <c r="AW30" s="16"/>
      <c r="AX30" s="16"/>
      <c r="AY30" s="16"/>
      <c r="AZ30" s="17">
        <v>3</v>
      </c>
      <c r="BA30" s="17">
        <v>1</v>
      </c>
      <c r="BB30" s="17" t="s">
        <v>299</v>
      </c>
      <c r="BC30" s="17" t="s">
        <v>61</v>
      </c>
      <c r="BD30" s="16"/>
      <c r="BE30" s="17" t="s">
        <v>62</v>
      </c>
      <c r="BF30" s="17" t="s">
        <v>172</v>
      </c>
      <c r="BG30" s="17" t="s">
        <v>300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157</v>
      </c>
      <c r="H31" s="17" t="s">
        <v>66</v>
      </c>
      <c r="I31" s="17" t="s">
        <v>84</v>
      </c>
      <c r="J31" s="17" t="s">
        <v>66</v>
      </c>
      <c r="K31" s="17" t="s">
        <v>319</v>
      </c>
      <c r="L31" s="17" t="s">
        <v>320</v>
      </c>
      <c r="M31" s="17" t="s">
        <v>87</v>
      </c>
      <c r="N31" s="17" t="s">
        <v>88</v>
      </c>
      <c r="O31" s="17" t="s">
        <v>88</v>
      </c>
      <c r="P31" s="17" t="s">
        <v>321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</v>
      </c>
      <c r="Z31" s="17">
        <v>101.92795016709699</v>
      </c>
      <c r="AA31" s="16"/>
      <c r="AB31" s="16"/>
      <c r="AC31" s="16"/>
      <c r="AD31" s="16"/>
      <c r="AE31" s="16"/>
      <c r="AF31" s="16"/>
      <c r="AG31" s="16"/>
      <c r="AH31" s="17">
        <v>101.918627625098</v>
      </c>
      <c r="AI31" s="17">
        <v>101.92795016709699</v>
      </c>
      <c r="AJ31" s="17">
        <v>101.92795016709699</v>
      </c>
      <c r="AK31" s="17">
        <v>101.92795016709699</v>
      </c>
      <c r="AL31" s="17">
        <v>1.90258398652077E-3</v>
      </c>
      <c r="AM31" s="17">
        <v>107.61736583407</v>
      </c>
      <c r="AN31" s="17" t="s">
        <v>66</v>
      </c>
      <c r="AO31" s="17" t="s">
        <v>319</v>
      </c>
      <c r="AP31" s="17" t="s">
        <v>320</v>
      </c>
      <c r="AQ31" s="17" t="s">
        <v>87</v>
      </c>
      <c r="AR31" s="17" t="s">
        <v>88</v>
      </c>
      <c r="AS31" s="17" t="s">
        <v>88</v>
      </c>
      <c r="AT31" s="17" t="s">
        <v>321</v>
      </c>
      <c r="AU31" s="17" t="s">
        <v>90</v>
      </c>
      <c r="AV31" s="16"/>
      <c r="AW31" s="16"/>
      <c r="AX31" s="16"/>
      <c r="AY31" s="16"/>
      <c r="AZ31" s="17">
        <v>3</v>
      </c>
      <c r="BA31" s="17">
        <v>1</v>
      </c>
      <c r="BB31" s="17" t="s">
        <v>299</v>
      </c>
      <c r="BC31" s="17" t="s">
        <v>61</v>
      </c>
      <c r="BD31" s="16"/>
      <c r="BE31" s="17" t="s">
        <v>62</v>
      </c>
      <c r="BF31" s="17" t="s">
        <v>172</v>
      </c>
      <c r="BG31" s="17" t="s">
        <v>300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22" t="s">
        <v>114</v>
      </c>
      <c r="H32" s="22" t="s">
        <v>73</v>
      </c>
      <c r="I32" s="22" t="s">
        <v>84</v>
      </c>
      <c r="J32" s="23"/>
      <c r="K32" s="17" t="s">
        <v>322</v>
      </c>
      <c r="L32" s="17" t="s">
        <v>320</v>
      </c>
      <c r="M32" s="17" t="s">
        <v>87</v>
      </c>
      <c r="N32" s="17" t="s">
        <v>88</v>
      </c>
      <c r="O32" s="17" t="s">
        <v>88</v>
      </c>
      <c r="P32" s="17" t="s">
        <v>323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14</v>
      </c>
      <c r="Z32" s="17">
        <v>107.628332959022</v>
      </c>
      <c r="AA32" s="16"/>
      <c r="AB32" s="16"/>
      <c r="AC32" s="16"/>
      <c r="AD32" s="16"/>
      <c r="AE32" s="16"/>
      <c r="AF32" s="16"/>
      <c r="AG32" s="16"/>
      <c r="AH32" s="17">
        <v>107.619243708905</v>
      </c>
      <c r="AI32" s="17">
        <v>107.628332959022</v>
      </c>
      <c r="AJ32" s="17">
        <v>107.628332959022</v>
      </c>
      <c r="AK32" s="17">
        <v>107.628332959022</v>
      </c>
      <c r="AL32" s="17">
        <v>1.7927910666912801E-3</v>
      </c>
      <c r="AM32" s="17">
        <v>107.750606749905</v>
      </c>
      <c r="AN32" s="16"/>
      <c r="AO32" s="17" t="s">
        <v>322</v>
      </c>
      <c r="AP32" s="17" t="s">
        <v>320</v>
      </c>
      <c r="AQ32" s="17" t="s">
        <v>87</v>
      </c>
      <c r="AR32" s="17" t="s">
        <v>88</v>
      </c>
      <c r="AS32" s="17" t="s">
        <v>88</v>
      </c>
      <c r="AT32" s="17" t="s">
        <v>323</v>
      </c>
      <c r="AU32" s="17" t="s">
        <v>90</v>
      </c>
      <c r="AV32" s="16"/>
      <c r="AW32" s="16"/>
      <c r="AX32" s="16"/>
      <c r="AY32" s="16"/>
      <c r="AZ32" s="17">
        <v>3</v>
      </c>
      <c r="BA32" s="17">
        <v>1</v>
      </c>
      <c r="BB32" s="17" t="s">
        <v>299</v>
      </c>
      <c r="BC32" s="17" t="s">
        <v>61</v>
      </c>
      <c r="BD32" s="16"/>
      <c r="BE32" s="17" t="s">
        <v>62</v>
      </c>
      <c r="BF32" s="17" t="s">
        <v>172</v>
      </c>
      <c r="BG32" s="17" t="s">
        <v>300</v>
      </c>
      <c r="BH32" s="16"/>
    </row>
    <row r="33" spans="1:60" ht="98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22" t="s">
        <v>144</v>
      </c>
      <c r="H33" s="22" t="s">
        <v>81</v>
      </c>
      <c r="I33" s="22" t="s">
        <v>84</v>
      </c>
      <c r="J33" s="22" t="s">
        <v>324</v>
      </c>
      <c r="K33" s="17" t="s">
        <v>325</v>
      </c>
      <c r="L33" s="17" t="s">
        <v>326</v>
      </c>
      <c r="M33" s="17" t="s">
        <v>110</v>
      </c>
      <c r="N33" s="17" t="s">
        <v>111</v>
      </c>
      <c r="O33" s="17" t="s">
        <v>111</v>
      </c>
      <c r="P33" s="17" t="s">
        <v>327</v>
      </c>
      <c r="Q33" s="17" t="s">
        <v>113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4</v>
      </c>
      <c r="Z33" s="17">
        <v>107.760462458944</v>
      </c>
      <c r="AA33" s="16"/>
      <c r="AB33" s="16"/>
      <c r="AC33" s="16"/>
      <c r="AD33" s="16"/>
      <c r="AE33" s="16"/>
      <c r="AF33" s="16"/>
      <c r="AG33" s="16"/>
      <c r="AH33" s="17">
        <v>107.752146125073</v>
      </c>
      <c r="AI33" s="17">
        <v>107.760462458944</v>
      </c>
      <c r="AJ33" s="17">
        <v>107.760462458944</v>
      </c>
      <c r="AK33" s="17">
        <v>107.760462458944</v>
      </c>
      <c r="AL33" s="17">
        <v>1.4454580377787399E-3</v>
      </c>
      <c r="AM33" s="17">
        <v>116.666582874954</v>
      </c>
      <c r="AN33" s="17" t="s">
        <v>324</v>
      </c>
      <c r="AO33" s="17" t="s">
        <v>325</v>
      </c>
      <c r="AP33" s="17" t="s">
        <v>326</v>
      </c>
      <c r="AQ33" s="17" t="s">
        <v>110</v>
      </c>
      <c r="AR33" s="17" t="s">
        <v>111</v>
      </c>
      <c r="AS33" s="17" t="s">
        <v>111</v>
      </c>
      <c r="AT33" s="17" t="s">
        <v>327</v>
      </c>
      <c r="AU33" s="17" t="s">
        <v>113</v>
      </c>
      <c r="AV33" s="16"/>
      <c r="AW33" s="16"/>
      <c r="AX33" s="16"/>
      <c r="AY33" s="16"/>
      <c r="AZ33" s="17">
        <v>3</v>
      </c>
      <c r="BA33" s="17">
        <v>1</v>
      </c>
      <c r="BB33" s="17" t="s">
        <v>299</v>
      </c>
      <c r="BC33" s="17" t="s">
        <v>61</v>
      </c>
      <c r="BD33" s="16"/>
      <c r="BE33" s="17" t="s">
        <v>62</v>
      </c>
      <c r="BF33" s="17" t="s">
        <v>172</v>
      </c>
      <c r="BG33" s="17" t="s">
        <v>300</v>
      </c>
      <c r="BH33" s="16"/>
    </row>
    <row r="34" spans="1:60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129</v>
      </c>
      <c r="H34" s="17" t="s">
        <v>72</v>
      </c>
      <c r="I34" s="17" t="s">
        <v>84</v>
      </c>
      <c r="J34" s="17" t="s">
        <v>72</v>
      </c>
      <c r="K34" s="17" t="s">
        <v>328</v>
      </c>
      <c r="L34" s="17" t="s">
        <v>241</v>
      </c>
      <c r="M34" s="17" t="s">
        <v>87</v>
      </c>
      <c r="N34" s="17" t="s">
        <v>88</v>
      </c>
      <c r="O34" s="17" t="s">
        <v>88</v>
      </c>
      <c r="P34" s="17" t="s">
        <v>329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0</v>
      </c>
      <c r="Z34" s="17">
        <v>116.677898125025</v>
      </c>
      <c r="AA34" s="16"/>
      <c r="AB34" s="16"/>
      <c r="AC34" s="16"/>
      <c r="AD34" s="16"/>
      <c r="AE34" s="16"/>
      <c r="AF34" s="16"/>
      <c r="AG34" s="16"/>
      <c r="AH34" s="17">
        <v>116.668417125009</v>
      </c>
      <c r="AI34" s="17">
        <v>116.677898125025</v>
      </c>
      <c r="AJ34" s="17">
        <v>116.677898125025</v>
      </c>
      <c r="AK34" s="17">
        <v>116.677898125025</v>
      </c>
      <c r="AL34" s="17">
        <v>1.7205418553203301E-3</v>
      </c>
      <c r="AM34" s="17">
        <v>119.433637249982</v>
      </c>
      <c r="AN34" s="17" t="s">
        <v>72</v>
      </c>
      <c r="AO34" s="17" t="s">
        <v>328</v>
      </c>
      <c r="AP34" s="17" t="s">
        <v>241</v>
      </c>
      <c r="AQ34" s="17" t="s">
        <v>87</v>
      </c>
      <c r="AR34" s="17" t="s">
        <v>88</v>
      </c>
      <c r="AS34" s="17" t="s">
        <v>88</v>
      </c>
      <c r="AT34" s="17" t="s">
        <v>329</v>
      </c>
      <c r="AU34" s="17" t="s">
        <v>90</v>
      </c>
      <c r="AV34" s="16"/>
      <c r="AW34" s="16"/>
      <c r="AX34" s="16"/>
      <c r="AY34" s="16"/>
      <c r="AZ34" s="17">
        <v>3</v>
      </c>
      <c r="BA34" s="17">
        <v>1</v>
      </c>
      <c r="BB34" s="17" t="s">
        <v>299</v>
      </c>
      <c r="BC34" s="17" t="s">
        <v>61</v>
      </c>
      <c r="BD34" s="16"/>
      <c r="BE34" s="17" t="s">
        <v>62</v>
      </c>
      <c r="BF34" s="17" t="s">
        <v>172</v>
      </c>
      <c r="BG34" s="17" t="s">
        <v>300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136</v>
      </c>
      <c r="H35" s="22" t="s">
        <v>69</v>
      </c>
      <c r="I35" s="22" t="s">
        <v>84</v>
      </c>
      <c r="J35" s="23"/>
      <c r="K35" s="17" t="s">
        <v>328</v>
      </c>
      <c r="L35" s="17" t="s">
        <v>241</v>
      </c>
      <c r="M35" s="17" t="s">
        <v>87</v>
      </c>
      <c r="N35" s="17" t="s">
        <v>88</v>
      </c>
      <c r="O35" s="17" t="s">
        <v>88</v>
      </c>
      <c r="P35" s="17" t="s">
        <v>330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8</v>
      </c>
      <c r="Z35" s="17">
        <v>119.444771874929</v>
      </c>
      <c r="AA35" s="16"/>
      <c r="AB35" s="16"/>
      <c r="AC35" s="16"/>
      <c r="AD35" s="16"/>
      <c r="AE35" s="16"/>
      <c r="AF35" s="16"/>
      <c r="AG35" s="16"/>
      <c r="AH35" s="17">
        <v>119.43583762506</v>
      </c>
      <c r="AI35" s="17">
        <v>119.444771874929</v>
      </c>
      <c r="AJ35" s="17">
        <v>119.444771874929</v>
      </c>
      <c r="AK35" s="17">
        <v>119.444771874929</v>
      </c>
      <c r="AL35" s="17">
        <v>2.1072919480502601E-3</v>
      </c>
      <c r="AM35" s="17">
        <v>126.61633999995</v>
      </c>
      <c r="AN35" s="16"/>
      <c r="AO35" s="17" t="s">
        <v>328</v>
      </c>
      <c r="AP35" s="17" t="s">
        <v>241</v>
      </c>
      <c r="AQ35" s="17" t="s">
        <v>87</v>
      </c>
      <c r="AR35" s="17" t="s">
        <v>88</v>
      </c>
      <c r="AS35" s="17" t="s">
        <v>88</v>
      </c>
      <c r="AT35" s="17" t="s">
        <v>330</v>
      </c>
      <c r="AU35" s="17" t="s">
        <v>90</v>
      </c>
      <c r="AV35" s="16"/>
      <c r="AW35" s="16"/>
      <c r="AX35" s="16"/>
      <c r="AY35" s="16"/>
      <c r="AZ35" s="17">
        <v>3</v>
      </c>
      <c r="BA35" s="17">
        <v>1</v>
      </c>
      <c r="BB35" s="17" t="s">
        <v>299</v>
      </c>
      <c r="BC35" s="17" t="s">
        <v>61</v>
      </c>
      <c r="BD35" s="16"/>
      <c r="BE35" s="17" t="s">
        <v>62</v>
      </c>
      <c r="BF35" s="17" t="s">
        <v>172</v>
      </c>
      <c r="BG35" s="17" t="s">
        <v>300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22" t="s">
        <v>118</v>
      </c>
      <c r="H36" s="22" t="s">
        <v>75</v>
      </c>
      <c r="I36" s="22" t="s">
        <v>84</v>
      </c>
      <c r="J36" s="23"/>
      <c r="K36" s="17" t="s">
        <v>331</v>
      </c>
      <c r="L36" s="17" t="s">
        <v>234</v>
      </c>
      <c r="M36" s="17" t="s">
        <v>87</v>
      </c>
      <c r="N36" s="17" t="s">
        <v>88</v>
      </c>
      <c r="O36" s="17" t="s">
        <v>88</v>
      </c>
      <c r="P36" s="17" t="s">
        <v>332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7</v>
      </c>
      <c r="Z36" s="17">
        <v>126.641444833949</v>
      </c>
      <c r="AA36" s="16"/>
      <c r="AB36" s="16"/>
      <c r="AC36" s="16"/>
      <c r="AD36" s="16"/>
      <c r="AE36" s="16"/>
      <c r="AF36" s="16"/>
      <c r="AG36" s="16"/>
      <c r="AH36" s="17">
        <v>126.61793429194999</v>
      </c>
      <c r="AI36" s="17">
        <v>126.641444833949</v>
      </c>
      <c r="AJ36" s="17">
        <v>126.641444833949</v>
      </c>
      <c r="AK36" s="17">
        <v>126.641444833949</v>
      </c>
      <c r="AL36" s="17">
        <v>1.5063330065459E-3</v>
      </c>
      <c r="AM36" s="17">
        <v>132.149058166891</v>
      </c>
      <c r="AN36" s="16"/>
      <c r="AO36" s="17" t="s">
        <v>331</v>
      </c>
      <c r="AP36" s="17" t="s">
        <v>234</v>
      </c>
      <c r="AQ36" s="17" t="s">
        <v>87</v>
      </c>
      <c r="AR36" s="17" t="s">
        <v>88</v>
      </c>
      <c r="AS36" s="17" t="s">
        <v>88</v>
      </c>
      <c r="AT36" s="17" t="s">
        <v>332</v>
      </c>
      <c r="AU36" s="17" t="s">
        <v>90</v>
      </c>
      <c r="AV36" s="16"/>
      <c r="AW36" s="16"/>
      <c r="AX36" s="16"/>
      <c r="AY36" s="16"/>
      <c r="AZ36" s="17">
        <v>3</v>
      </c>
      <c r="BA36" s="17">
        <v>1</v>
      </c>
      <c r="BB36" s="17" t="s">
        <v>299</v>
      </c>
      <c r="BC36" s="17" t="s">
        <v>61</v>
      </c>
      <c r="BD36" s="16"/>
      <c r="BE36" s="17" t="s">
        <v>62</v>
      </c>
      <c r="BF36" s="17" t="s">
        <v>172</v>
      </c>
      <c r="BG36" s="17" t="s">
        <v>300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22" t="s">
        <v>167</v>
      </c>
      <c r="H37" s="22" t="s">
        <v>59</v>
      </c>
      <c r="I37" s="22" t="s">
        <v>84</v>
      </c>
      <c r="J37" s="22" t="s">
        <v>333</v>
      </c>
      <c r="K37" s="17" t="s">
        <v>93</v>
      </c>
      <c r="L37" s="17" t="s">
        <v>93</v>
      </c>
      <c r="M37" s="17" t="s">
        <v>93</v>
      </c>
      <c r="N37" s="17" t="s">
        <v>93</v>
      </c>
      <c r="O37" s="17" t="s">
        <v>93</v>
      </c>
      <c r="P37" s="17" t="s">
        <v>93</v>
      </c>
      <c r="Q37" s="17" t="s">
        <v>93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12</v>
      </c>
      <c r="Z37" s="17">
        <v>132.158099999884</v>
      </c>
      <c r="AA37" s="16"/>
      <c r="AB37" s="16"/>
      <c r="AC37" s="16"/>
      <c r="AD37" s="16"/>
      <c r="AE37" s="16"/>
      <c r="AF37" s="16"/>
      <c r="AG37" s="16"/>
      <c r="AH37" s="17">
        <v>132.15089841699199</v>
      </c>
      <c r="AI37" s="17">
        <v>132.158099999884</v>
      </c>
      <c r="AJ37" s="17">
        <v>132.158099999884</v>
      </c>
      <c r="AK37" s="17">
        <v>132.158099999884</v>
      </c>
      <c r="AL37" s="17">
        <v>1.7548750620335299E-3</v>
      </c>
      <c r="AM37" s="17">
        <v>142.141368959099</v>
      </c>
      <c r="AN37" s="17" t="s">
        <v>333</v>
      </c>
      <c r="AO37" s="17" t="s">
        <v>93</v>
      </c>
      <c r="AP37" s="17" t="s">
        <v>93</v>
      </c>
      <c r="AQ37" s="17" t="s">
        <v>93</v>
      </c>
      <c r="AR37" s="17" t="s">
        <v>93</v>
      </c>
      <c r="AS37" s="17" t="s">
        <v>93</v>
      </c>
      <c r="AT37" s="17" t="s">
        <v>93</v>
      </c>
      <c r="AU37" s="17" t="s">
        <v>93</v>
      </c>
      <c r="AV37" s="17">
        <v>142.15267604193701</v>
      </c>
      <c r="AW37" s="17">
        <v>142.15267604193701</v>
      </c>
      <c r="AX37" s="17">
        <v>142.15267604193701</v>
      </c>
      <c r="AY37" s="17">
        <v>9.9920502919703704</v>
      </c>
      <c r="AZ37" s="17">
        <v>3</v>
      </c>
      <c r="BA37" s="17">
        <v>1</v>
      </c>
      <c r="BB37" s="17" t="s">
        <v>299</v>
      </c>
      <c r="BC37" s="17" t="s">
        <v>61</v>
      </c>
      <c r="BD37" s="16"/>
      <c r="BE37" s="17" t="s">
        <v>62</v>
      </c>
      <c r="BF37" s="17" t="s">
        <v>172</v>
      </c>
      <c r="BG37" s="17" t="s">
        <v>300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17" t="s">
        <v>169</v>
      </c>
      <c r="H38" s="17" t="s">
        <v>77</v>
      </c>
      <c r="I38" s="17" t="s">
        <v>84</v>
      </c>
      <c r="J38" s="17" t="s">
        <v>77</v>
      </c>
      <c r="K38" s="17" t="s">
        <v>334</v>
      </c>
      <c r="L38" s="17" t="s">
        <v>335</v>
      </c>
      <c r="M38" s="17" t="s">
        <v>87</v>
      </c>
      <c r="N38" s="17" t="s">
        <v>88</v>
      </c>
      <c r="O38" s="17" t="s">
        <v>88</v>
      </c>
      <c r="P38" s="17" t="s">
        <v>336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10</v>
      </c>
      <c r="Z38" s="17">
        <v>142.15267604193701</v>
      </c>
      <c r="AA38" s="16"/>
      <c r="AB38" s="16"/>
      <c r="AC38" s="16"/>
      <c r="AD38" s="16"/>
      <c r="AE38" s="16"/>
      <c r="AF38" s="16"/>
      <c r="AG38" s="16"/>
      <c r="AH38" s="17">
        <v>142.14360529207599</v>
      </c>
      <c r="AI38" s="17">
        <v>142.15267604193701</v>
      </c>
      <c r="AJ38" s="17">
        <v>142.15267604193701</v>
      </c>
      <c r="AK38" s="17">
        <v>142.15267604193701</v>
      </c>
      <c r="AL38" s="17">
        <v>3.6005841102451099E-3</v>
      </c>
      <c r="AM38" s="17">
        <v>146.533451583935</v>
      </c>
      <c r="AN38" s="17" t="s">
        <v>77</v>
      </c>
      <c r="AO38" s="17" t="s">
        <v>334</v>
      </c>
      <c r="AP38" s="17" t="s">
        <v>335</v>
      </c>
      <c r="AQ38" s="17" t="s">
        <v>87</v>
      </c>
      <c r="AR38" s="17" t="s">
        <v>88</v>
      </c>
      <c r="AS38" s="17" t="s">
        <v>88</v>
      </c>
      <c r="AT38" s="17" t="s">
        <v>336</v>
      </c>
      <c r="AU38" s="17" t="s">
        <v>90</v>
      </c>
      <c r="AV38" s="16"/>
      <c r="AW38" s="16"/>
      <c r="AX38" s="16"/>
      <c r="AY38" s="16"/>
      <c r="AZ38" s="17">
        <v>3</v>
      </c>
      <c r="BA38" s="17">
        <v>1</v>
      </c>
      <c r="BB38" s="17" t="s">
        <v>299</v>
      </c>
      <c r="BC38" s="17" t="s">
        <v>61</v>
      </c>
      <c r="BD38" s="16"/>
      <c r="BE38" s="17" t="s">
        <v>62</v>
      </c>
      <c r="BF38" s="17" t="s">
        <v>172</v>
      </c>
      <c r="BG38" s="17" t="s">
        <v>300</v>
      </c>
      <c r="BH38" s="16"/>
    </row>
    <row r="39" spans="1:60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83</v>
      </c>
      <c r="H39" s="22" t="s">
        <v>82</v>
      </c>
      <c r="I39" s="22" t="s">
        <v>84</v>
      </c>
      <c r="J39" s="23"/>
      <c r="K39" s="17" t="s">
        <v>337</v>
      </c>
      <c r="L39" s="17" t="s">
        <v>338</v>
      </c>
      <c r="M39" s="17" t="s">
        <v>87</v>
      </c>
      <c r="N39" s="17" t="s">
        <v>88</v>
      </c>
      <c r="O39" s="17" t="s">
        <v>88</v>
      </c>
      <c r="P39" s="17" t="s">
        <v>339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9</v>
      </c>
      <c r="Z39" s="17">
        <v>146.544645000016</v>
      </c>
      <c r="AA39" s="16"/>
      <c r="AB39" s="16"/>
      <c r="AC39" s="16"/>
      <c r="AD39" s="16"/>
      <c r="AE39" s="16"/>
      <c r="AF39" s="16"/>
      <c r="AG39" s="16"/>
      <c r="AH39" s="17">
        <v>146.53544741706</v>
      </c>
      <c r="AI39" s="17">
        <v>146.544645000016</v>
      </c>
      <c r="AJ39" s="17">
        <v>146.544645000016</v>
      </c>
      <c r="AK39" s="17">
        <v>146.544645000016</v>
      </c>
      <c r="AL39" s="17">
        <v>1.90270785242319E-3</v>
      </c>
      <c r="AM39" s="17">
        <v>152.28231133404199</v>
      </c>
      <c r="AN39" s="16"/>
      <c r="AO39" s="17" t="s">
        <v>337</v>
      </c>
      <c r="AP39" s="17" t="s">
        <v>338</v>
      </c>
      <c r="AQ39" s="17" t="s">
        <v>87</v>
      </c>
      <c r="AR39" s="17" t="s">
        <v>88</v>
      </c>
      <c r="AS39" s="17" t="s">
        <v>88</v>
      </c>
      <c r="AT39" s="17" t="s">
        <v>339</v>
      </c>
      <c r="AU39" s="17" t="s">
        <v>90</v>
      </c>
      <c r="AV39" s="16"/>
      <c r="AW39" s="16"/>
      <c r="AX39" s="16"/>
      <c r="AY39" s="16"/>
      <c r="AZ39" s="17">
        <v>3</v>
      </c>
      <c r="BA39" s="17">
        <v>1</v>
      </c>
      <c r="BB39" s="17" t="s">
        <v>299</v>
      </c>
      <c r="BC39" s="17" t="s">
        <v>61</v>
      </c>
      <c r="BD39" s="16"/>
      <c r="BE39" s="17" t="s">
        <v>62</v>
      </c>
      <c r="BF39" s="17" t="s">
        <v>172</v>
      </c>
      <c r="BG39" s="17" t="s">
        <v>300</v>
      </c>
      <c r="BH39" s="16"/>
    </row>
    <row r="40" spans="1:60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17" t="s">
        <v>106</v>
      </c>
      <c r="H40" s="17" t="s">
        <v>107</v>
      </c>
      <c r="I40" s="17" t="s">
        <v>96</v>
      </c>
      <c r="J40" s="17" t="s">
        <v>107</v>
      </c>
      <c r="K40" s="17" t="s">
        <v>340</v>
      </c>
      <c r="L40" s="17" t="s">
        <v>214</v>
      </c>
      <c r="M40" s="17" t="s">
        <v>87</v>
      </c>
      <c r="N40" s="17" t="s">
        <v>88</v>
      </c>
      <c r="O40" s="17" t="s">
        <v>88</v>
      </c>
      <c r="P40" s="17" t="s">
        <v>341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23</v>
      </c>
      <c r="Z40" s="17">
        <v>152.29118512501</v>
      </c>
      <c r="AA40" s="16"/>
      <c r="AB40" s="16"/>
      <c r="AC40" s="16"/>
      <c r="AD40" s="16"/>
      <c r="AE40" s="16"/>
      <c r="AF40" s="16"/>
      <c r="AG40" s="16"/>
      <c r="AH40" s="17">
        <v>152.283908250043</v>
      </c>
      <c r="AI40" s="17">
        <v>152.29118512501</v>
      </c>
      <c r="AJ40" s="17">
        <v>152.29118512501</v>
      </c>
      <c r="AK40" s="17">
        <v>152.29118512501</v>
      </c>
      <c r="AL40" s="17">
        <v>1.5127088408917199E-3</v>
      </c>
      <c r="AM40" s="17">
        <v>159.41676591709299</v>
      </c>
      <c r="AN40" s="17" t="s">
        <v>107</v>
      </c>
      <c r="AO40" s="17" t="s">
        <v>340</v>
      </c>
      <c r="AP40" s="17" t="s">
        <v>214</v>
      </c>
      <c r="AQ40" s="17" t="s">
        <v>87</v>
      </c>
      <c r="AR40" s="17" t="s">
        <v>88</v>
      </c>
      <c r="AS40" s="17" t="s">
        <v>88</v>
      </c>
      <c r="AT40" s="17" t="s">
        <v>341</v>
      </c>
      <c r="AU40" s="17" t="s">
        <v>90</v>
      </c>
      <c r="AV40" s="16"/>
      <c r="AW40" s="16"/>
      <c r="AX40" s="16"/>
      <c r="AY40" s="16"/>
      <c r="AZ40" s="17">
        <v>3</v>
      </c>
      <c r="BA40" s="17">
        <v>1</v>
      </c>
      <c r="BB40" s="17" t="s">
        <v>299</v>
      </c>
      <c r="BC40" s="17" t="s">
        <v>61</v>
      </c>
      <c r="BD40" s="16"/>
      <c r="BE40" s="17" t="s">
        <v>62</v>
      </c>
      <c r="BF40" s="17" t="s">
        <v>172</v>
      </c>
      <c r="BG40" s="17" t="s">
        <v>300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120</v>
      </c>
      <c r="H41" s="22" t="s">
        <v>121</v>
      </c>
      <c r="I41" s="22" t="s">
        <v>96</v>
      </c>
      <c r="J41" s="23"/>
      <c r="K41" s="17" t="s">
        <v>340</v>
      </c>
      <c r="L41" s="17" t="s">
        <v>214</v>
      </c>
      <c r="M41" s="17" t="s">
        <v>87</v>
      </c>
      <c r="N41" s="17" t="s">
        <v>88</v>
      </c>
      <c r="O41" s="17" t="s">
        <v>88</v>
      </c>
      <c r="P41" s="17" t="s">
        <v>342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24</v>
      </c>
      <c r="Z41" s="17">
        <v>159.428279374959</v>
      </c>
      <c r="AA41" s="16"/>
      <c r="AB41" s="16"/>
      <c r="AC41" s="16"/>
      <c r="AD41" s="16"/>
      <c r="AE41" s="16"/>
      <c r="AF41" s="16"/>
      <c r="AG41" s="16"/>
      <c r="AH41" s="17">
        <v>159.41880991705699</v>
      </c>
      <c r="AI41" s="17">
        <v>159.428279374959</v>
      </c>
      <c r="AJ41" s="17">
        <v>159.428279374959</v>
      </c>
      <c r="AK41" s="17">
        <v>159.428279374959</v>
      </c>
      <c r="AL41" s="17">
        <v>1.95204187184572E-3</v>
      </c>
      <c r="AM41" s="17">
        <v>168.41635941690799</v>
      </c>
      <c r="AN41" s="16"/>
      <c r="AO41" s="17" t="s">
        <v>340</v>
      </c>
      <c r="AP41" s="17" t="s">
        <v>214</v>
      </c>
      <c r="AQ41" s="17" t="s">
        <v>87</v>
      </c>
      <c r="AR41" s="17" t="s">
        <v>88</v>
      </c>
      <c r="AS41" s="17" t="s">
        <v>88</v>
      </c>
      <c r="AT41" s="17" t="s">
        <v>342</v>
      </c>
      <c r="AU41" s="17" t="s">
        <v>90</v>
      </c>
      <c r="AV41" s="16"/>
      <c r="AW41" s="16"/>
      <c r="AX41" s="16"/>
      <c r="AY41" s="16"/>
      <c r="AZ41" s="17">
        <v>3</v>
      </c>
      <c r="BA41" s="17">
        <v>1</v>
      </c>
      <c r="BB41" s="17" t="s">
        <v>299</v>
      </c>
      <c r="BC41" s="17" t="s">
        <v>61</v>
      </c>
      <c r="BD41" s="16"/>
      <c r="BE41" s="17" t="s">
        <v>62</v>
      </c>
      <c r="BF41" s="17" t="s">
        <v>172</v>
      </c>
      <c r="BG41" s="17" t="s">
        <v>300</v>
      </c>
      <c r="BH41" s="16"/>
    </row>
    <row r="42" spans="1:60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17" t="s">
        <v>104</v>
      </c>
      <c r="H42" s="17" t="s">
        <v>70</v>
      </c>
      <c r="I42" s="17" t="s">
        <v>84</v>
      </c>
      <c r="J42" s="17" t="s">
        <v>70</v>
      </c>
      <c r="K42" s="17" t="s">
        <v>340</v>
      </c>
      <c r="L42" s="17" t="s">
        <v>343</v>
      </c>
      <c r="M42" s="17" t="s">
        <v>87</v>
      </c>
      <c r="N42" s="17" t="s">
        <v>88</v>
      </c>
      <c r="O42" s="17" t="s">
        <v>88</v>
      </c>
      <c r="P42" s="17" t="s">
        <v>344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2</v>
      </c>
      <c r="Z42" s="17">
        <v>168.42616495909201</v>
      </c>
      <c r="AA42" s="16"/>
      <c r="AB42" s="16"/>
      <c r="AC42" s="16"/>
      <c r="AD42" s="16"/>
      <c r="AE42" s="16"/>
      <c r="AF42" s="16"/>
      <c r="AG42" s="16"/>
      <c r="AH42" s="17">
        <v>168.418336000061</v>
      </c>
      <c r="AI42" s="17">
        <v>168.42616495909201</v>
      </c>
      <c r="AJ42" s="17">
        <v>168.42616495909201</v>
      </c>
      <c r="AK42" s="17">
        <v>168.42616495909201</v>
      </c>
      <c r="AL42" s="17">
        <v>1.89274991862476E-3</v>
      </c>
      <c r="AM42" s="17">
        <v>176.30069379205801</v>
      </c>
      <c r="AN42" s="17" t="s">
        <v>70</v>
      </c>
      <c r="AO42" s="17" t="s">
        <v>340</v>
      </c>
      <c r="AP42" s="17" t="s">
        <v>343</v>
      </c>
      <c r="AQ42" s="17" t="s">
        <v>87</v>
      </c>
      <c r="AR42" s="17" t="s">
        <v>88</v>
      </c>
      <c r="AS42" s="17" t="s">
        <v>88</v>
      </c>
      <c r="AT42" s="17" t="s">
        <v>344</v>
      </c>
      <c r="AU42" s="17" t="s">
        <v>90</v>
      </c>
      <c r="AV42" s="16"/>
      <c r="AW42" s="16"/>
      <c r="AX42" s="16"/>
      <c r="AY42" s="16"/>
      <c r="AZ42" s="17">
        <v>3</v>
      </c>
      <c r="BA42" s="17">
        <v>1</v>
      </c>
      <c r="BB42" s="17" t="s">
        <v>299</v>
      </c>
      <c r="BC42" s="17" t="s">
        <v>61</v>
      </c>
      <c r="BD42" s="16"/>
      <c r="BE42" s="17" t="s">
        <v>62</v>
      </c>
      <c r="BF42" s="17" t="s">
        <v>172</v>
      </c>
      <c r="BG42" s="17" t="s">
        <v>300</v>
      </c>
      <c r="BH42" s="16"/>
    </row>
    <row r="43" spans="1:60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164</v>
      </c>
      <c r="H43" s="17" t="s">
        <v>80</v>
      </c>
      <c r="I43" s="17" t="s">
        <v>84</v>
      </c>
      <c r="J43" s="17" t="s">
        <v>80</v>
      </c>
      <c r="K43" s="17" t="s">
        <v>345</v>
      </c>
      <c r="L43" s="17" t="s">
        <v>98</v>
      </c>
      <c r="M43" s="17" t="s">
        <v>87</v>
      </c>
      <c r="N43" s="17" t="s">
        <v>88</v>
      </c>
      <c r="O43" s="17" t="s">
        <v>88</v>
      </c>
      <c r="P43" s="17" t="s">
        <v>346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15</v>
      </c>
      <c r="Z43" s="17">
        <v>176.31115308404</v>
      </c>
      <c r="AA43" s="16"/>
      <c r="AB43" s="16"/>
      <c r="AC43" s="16"/>
      <c r="AD43" s="16"/>
      <c r="AE43" s="16"/>
      <c r="AF43" s="16"/>
      <c r="AG43" s="16"/>
      <c r="AH43" s="17">
        <v>176.302449499955</v>
      </c>
      <c r="AI43" s="17">
        <v>176.31115308404</v>
      </c>
      <c r="AJ43" s="17">
        <v>176.31115308404</v>
      </c>
      <c r="AK43" s="17">
        <v>176.31115308404</v>
      </c>
      <c r="AL43" s="17">
        <v>1.6754169482737799E-3</v>
      </c>
      <c r="AM43" s="17">
        <v>179.784944792045</v>
      </c>
      <c r="AN43" s="17" t="s">
        <v>80</v>
      </c>
      <c r="AO43" s="17" t="s">
        <v>345</v>
      </c>
      <c r="AP43" s="17" t="s">
        <v>98</v>
      </c>
      <c r="AQ43" s="17" t="s">
        <v>87</v>
      </c>
      <c r="AR43" s="17" t="s">
        <v>88</v>
      </c>
      <c r="AS43" s="17" t="s">
        <v>88</v>
      </c>
      <c r="AT43" s="17" t="s">
        <v>346</v>
      </c>
      <c r="AU43" s="17" t="s">
        <v>90</v>
      </c>
      <c r="AV43" s="16"/>
      <c r="AW43" s="16"/>
      <c r="AX43" s="16"/>
      <c r="AY43" s="16"/>
      <c r="AZ43" s="17">
        <v>3</v>
      </c>
      <c r="BA43" s="17">
        <v>1</v>
      </c>
      <c r="BB43" s="17" t="s">
        <v>299</v>
      </c>
      <c r="BC43" s="17" t="s">
        <v>61</v>
      </c>
      <c r="BD43" s="16"/>
      <c r="BE43" s="17" t="s">
        <v>62</v>
      </c>
      <c r="BF43" s="17" t="s">
        <v>172</v>
      </c>
      <c r="BG43" s="17" t="s">
        <v>300</v>
      </c>
      <c r="BH43" s="16"/>
    </row>
    <row r="44" spans="1:60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 t="s">
        <v>131</v>
      </c>
      <c r="H44" s="22" t="s">
        <v>76</v>
      </c>
      <c r="I44" s="22" t="s">
        <v>84</v>
      </c>
      <c r="J44" s="22" t="s">
        <v>347</v>
      </c>
      <c r="K44" s="17" t="s">
        <v>345</v>
      </c>
      <c r="L44" s="17" t="s">
        <v>98</v>
      </c>
      <c r="M44" s="17" t="s">
        <v>87</v>
      </c>
      <c r="N44" s="17" t="s">
        <v>88</v>
      </c>
      <c r="O44" s="17" t="s">
        <v>88</v>
      </c>
      <c r="P44" s="17" t="s">
        <v>348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6</v>
      </c>
      <c r="Z44" s="17">
        <v>179.79575320891999</v>
      </c>
      <c r="AA44" s="16"/>
      <c r="AB44" s="16"/>
      <c r="AC44" s="16"/>
      <c r="AD44" s="16"/>
      <c r="AE44" s="16"/>
      <c r="AF44" s="16"/>
      <c r="AG44" s="16"/>
      <c r="AH44" s="17">
        <v>179.78744737501299</v>
      </c>
      <c r="AI44" s="17">
        <v>179.79575320891999</v>
      </c>
      <c r="AJ44" s="17">
        <v>179.79575320891999</v>
      </c>
      <c r="AK44" s="17">
        <v>179.79575320891999</v>
      </c>
      <c r="AL44" s="17">
        <v>2.3959998507052699E-3</v>
      </c>
      <c r="AM44" s="17">
        <v>182.117316666991</v>
      </c>
      <c r="AN44" s="17" t="s">
        <v>347</v>
      </c>
      <c r="AO44" s="17" t="s">
        <v>345</v>
      </c>
      <c r="AP44" s="17" t="s">
        <v>98</v>
      </c>
      <c r="AQ44" s="17" t="s">
        <v>87</v>
      </c>
      <c r="AR44" s="17" t="s">
        <v>88</v>
      </c>
      <c r="AS44" s="17" t="s">
        <v>88</v>
      </c>
      <c r="AT44" s="17" t="s">
        <v>348</v>
      </c>
      <c r="AU44" s="17" t="s">
        <v>90</v>
      </c>
      <c r="AV44" s="16"/>
      <c r="AW44" s="16"/>
      <c r="AX44" s="16"/>
      <c r="AY44" s="16"/>
      <c r="AZ44" s="17">
        <v>3</v>
      </c>
      <c r="BA44" s="17">
        <v>1</v>
      </c>
      <c r="BB44" s="17" t="s">
        <v>299</v>
      </c>
      <c r="BC44" s="17" t="s">
        <v>61</v>
      </c>
      <c r="BD44" s="16"/>
      <c r="BE44" s="17" t="s">
        <v>62</v>
      </c>
      <c r="BF44" s="17" t="s">
        <v>172</v>
      </c>
      <c r="BG44" s="17" t="s">
        <v>300</v>
      </c>
      <c r="BH44" s="16"/>
    </row>
    <row r="45" spans="1:60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22" t="s">
        <v>160</v>
      </c>
      <c r="H45" s="22" t="s">
        <v>79</v>
      </c>
      <c r="I45" s="22" t="s">
        <v>84</v>
      </c>
      <c r="J45" s="23"/>
      <c r="K45" s="17" t="s">
        <v>93</v>
      </c>
      <c r="L45" s="17" t="s">
        <v>93</v>
      </c>
      <c r="M45" s="17" t="s">
        <v>93</v>
      </c>
      <c r="N45" s="17" t="s">
        <v>93</v>
      </c>
      <c r="O45" s="17" t="s">
        <v>93</v>
      </c>
      <c r="P45" s="17" t="s">
        <v>93</v>
      </c>
      <c r="Q45" s="17" t="s">
        <v>93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3</v>
      </c>
      <c r="Z45" s="17">
        <v>182.128149416996</v>
      </c>
      <c r="AA45" s="16"/>
      <c r="AB45" s="16"/>
      <c r="AC45" s="16"/>
      <c r="AD45" s="16"/>
      <c r="AE45" s="16"/>
      <c r="AF45" s="16"/>
      <c r="AG45" s="16"/>
      <c r="AH45" s="17">
        <v>182.119357167045</v>
      </c>
      <c r="AI45" s="17">
        <v>182.128149416996</v>
      </c>
      <c r="AJ45" s="17">
        <v>182.128149416996</v>
      </c>
      <c r="AK45" s="17">
        <v>182.128149416996</v>
      </c>
      <c r="AL45" s="17">
        <v>1.9502921495586599E-3</v>
      </c>
      <c r="AM45" s="17">
        <v>192.11488824989601</v>
      </c>
      <c r="AN45" s="16"/>
      <c r="AO45" s="17" t="s">
        <v>93</v>
      </c>
      <c r="AP45" s="17" t="s">
        <v>93</v>
      </c>
      <c r="AQ45" s="17" t="s">
        <v>93</v>
      </c>
      <c r="AR45" s="17" t="s">
        <v>93</v>
      </c>
      <c r="AS45" s="17" t="s">
        <v>93</v>
      </c>
      <c r="AT45" s="17" t="s">
        <v>93</v>
      </c>
      <c r="AU45" s="17" t="s">
        <v>93</v>
      </c>
      <c r="AV45" s="17">
        <v>192.124121916946</v>
      </c>
      <c r="AW45" s="17">
        <v>192.124121916946</v>
      </c>
      <c r="AX45" s="17">
        <v>192.124121916946</v>
      </c>
      <c r="AY45" s="17">
        <v>9.9972870841156691</v>
      </c>
      <c r="AZ45" s="17">
        <v>3</v>
      </c>
      <c r="BA45" s="17">
        <v>1</v>
      </c>
      <c r="BB45" s="17" t="s">
        <v>299</v>
      </c>
      <c r="BC45" s="17" t="s">
        <v>61</v>
      </c>
      <c r="BD45" s="16"/>
      <c r="BE45" s="17" t="s">
        <v>62</v>
      </c>
      <c r="BF45" s="17" t="s">
        <v>172</v>
      </c>
      <c r="BG45" s="17" t="s">
        <v>300</v>
      </c>
      <c r="BH45" s="16"/>
    </row>
    <row r="46" spans="1:60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22" t="s">
        <v>138</v>
      </c>
      <c r="H46" s="22" t="s">
        <v>139</v>
      </c>
      <c r="I46" s="22" t="s">
        <v>96</v>
      </c>
      <c r="J46" s="22" t="s">
        <v>349</v>
      </c>
      <c r="K46" s="17" t="s">
        <v>345</v>
      </c>
      <c r="L46" s="17" t="s">
        <v>98</v>
      </c>
      <c r="M46" s="17" t="s">
        <v>87</v>
      </c>
      <c r="N46" s="17" t="s">
        <v>88</v>
      </c>
      <c r="O46" s="17" t="s">
        <v>88</v>
      </c>
      <c r="P46" s="17" t="s">
        <v>350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21</v>
      </c>
      <c r="Z46" s="17">
        <v>192.124121916946</v>
      </c>
      <c r="AA46" s="16"/>
      <c r="AB46" s="16"/>
      <c r="AC46" s="16"/>
      <c r="AD46" s="16"/>
      <c r="AE46" s="16"/>
      <c r="AF46" s="16"/>
      <c r="AG46" s="16"/>
      <c r="AH46" s="17">
        <v>192.116729249945</v>
      </c>
      <c r="AI46" s="17">
        <v>192.124121916946</v>
      </c>
      <c r="AJ46" s="17">
        <v>192.124121916946</v>
      </c>
      <c r="AK46" s="17">
        <v>192.124121916946</v>
      </c>
      <c r="AL46" s="17">
        <v>-6.82750018313527E-4</v>
      </c>
      <c r="AM46" s="17">
        <v>198.233769417042</v>
      </c>
      <c r="AN46" s="17" t="s">
        <v>349</v>
      </c>
      <c r="AO46" s="17" t="s">
        <v>345</v>
      </c>
      <c r="AP46" s="17" t="s">
        <v>98</v>
      </c>
      <c r="AQ46" s="17" t="s">
        <v>87</v>
      </c>
      <c r="AR46" s="17" t="s">
        <v>88</v>
      </c>
      <c r="AS46" s="17" t="s">
        <v>88</v>
      </c>
      <c r="AT46" s="17" t="s">
        <v>350</v>
      </c>
      <c r="AU46" s="17" t="s">
        <v>90</v>
      </c>
      <c r="AV46" s="16"/>
      <c r="AW46" s="16"/>
      <c r="AX46" s="16"/>
      <c r="AY46" s="16"/>
      <c r="AZ46" s="17">
        <v>3</v>
      </c>
      <c r="BA46" s="17">
        <v>1</v>
      </c>
      <c r="BB46" s="17" t="s">
        <v>299</v>
      </c>
      <c r="BC46" s="17" t="s">
        <v>61</v>
      </c>
      <c r="BD46" s="16"/>
      <c r="BE46" s="17" t="s">
        <v>62</v>
      </c>
      <c r="BF46" s="17" t="s">
        <v>172</v>
      </c>
      <c r="BG46" s="17" t="s">
        <v>300</v>
      </c>
      <c r="BH46" s="16"/>
    </row>
    <row r="48" spans="1:60" ht="14" x14ac:dyDescent="0.15">
      <c r="K48" s="19" t="s">
        <v>630</v>
      </c>
      <c r="L48" s="17" t="s">
        <v>641</v>
      </c>
      <c r="M48">
        <f>10/14</f>
        <v>0.7142857142857143</v>
      </c>
    </row>
    <row r="49" spans="11:13" ht="14" x14ac:dyDescent="0.15">
      <c r="K49" s="19" t="s">
        <v>631</v>
      </c>
      <c r="L49" s="17" t="s">
        <v>642</v>
      </c>
      <c r="M49">
        <f>1/2</f>
        <v>0.5</v>
      </c>
    </row>
    <row r="50" spans="11:13" x14ac:dyDescent="0.15">
      <c r="K50" s="1"/>
    </row>
    <row r="51" spans="11:13" x14ac:dyDescent="0.15">
      <c r="K51" s="19" t="s">
        <v>634</v>
      </c>
      <c r="M51">
        <f>M48-M49</f>
        <v>0.2142857142857143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3386-8C6B-BF4A-9DD1-7CB09337960E}">
  <dimension ref="A1:BH53"/>
  <sheetViews>
    <sheetView topLeftCell="A40" workbookViewId="0">
      <selection activeCell="M53" sqref="M53"/>
    </sheetView>
  </sheetViews>
  <sheetFormatPr baseColWidth="10" defaultRowHeight="13" x14ac:dyDescent="0.15"/>
  <cols>
    <col min="11" max="11" width="29.6640625" customWidth="1"/>
    <col min="13" max="13" width="12.33203125" bestFit="1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78</v>
      </c>
      <c r="B2" s="17">
        <v>0</v>
      </c>
      <c r="C2" s="17">
        <v>0</v>
      </c>
      <c r="D2" s="17">
        <v>0</v>
      </c>
      <c r="E2" s="17">
        <v>1.0143884892086299</v>
      </c>
      <c r="F2" s="17">
        <v>3.71278800000437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5</v>
      </c>
      <c r="V2" s="16"/>
      <c r="W2" s="16"/>
      <c r="X2" s="16"/>
      <c r="Y2" s="16"/>
      <c r="Z2" s="17">
        <v>2.8071708045899899E-2</v>
      </c>
      <c r="AA2" s="16"/>
      <c r="AB2" s="17">
        <v>1.2763250153511801E-2</v>
      </c>
      <c r="AC2" s="17">
        <v>2.8071708045899899E-2</v>
      </c>
      <c r="AD2" s="17">
        <v>2.8071708045899899E-2</v>
      </c>
      <c r="AE2" s="17">
        <v>3.73452429100871</v>
      </c>
      <c r="AF2" s="17">
        <v>1.0143884892086299</v>
      </c>
      <c r="AG2" s="17">
        <v>3.71278800000437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>
        <v>3.1</v>
      </c>
      <c r="BA2" s="17">
        <v>1</v>
      </c>
      <c r="BB2" s="17" t="s">
        <v>351</v>
      </c>
      <c r="BC2" s="17" t="s">
        <v>61</v>
      </c>
      <c r="BD2" s="16"/>
      <c r="BE2" s="17" t="s">
        <v>62</v>
      </c>
      <c r="BF2" s="17" t="s">
        <v>172</v>
      </c>
      <c r="BG2" s="17" t="s">
        <v>352</v>
      </c>
      <c r="BH2" s="16"/>
    </row>
    <row r="3" spans="1:60" ht="56" x14ac:dyDescent="0.15">
      <c r="A3" s="15" t="s">
        <v>64</v>
      </c>
      <c r="B3" s="17">
        <v>1</v>
      </c>
      <c r="C3" s="17">
        <v>1</v>
      </c>
      <c r="D3" s="17">
        <v>0</v>
      </c>
      <c r="E3" s="17">
        <v>1.0143884892086299</v>
      </c>
      <c r="F3" s="17">
        <v>1.1201614998281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18</v>
      </c>
      <c r="V3" s="16"/>
      <c r="W3" s="16"/>
      <c r="X3" s="16"/>
      <c r="Y3" s="16"/>
      <c r="Z3" s="17">
        <v>3.7453003330156198</v>
      </c>
      <c r="AA3" s="16"/>
      <c r="AB3" s="17">
        <v>3.738686833065</v>
      </c>
      <c r="AC3" s="17">
        <v>3.7453003330156198</v>
      </c>
      <c r="AD3" s="17">
        <v>3.7453003330156198</v>
      </c>
      <c r="AE3" s="17">
        <v>4.8678837080951798</v>
      </c>
      <c r="AF3" s="17">
        <v>1.0143884892086299</v>
      </c>
      <c r="AG3" s="17">
        <v>1.1201614998281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>
        <v>3.1</v>
      </c>
      <c r="BA3" s="17">
        <v>1</v>
      </c>
      <c r="BB3" s="17" t="s">
        <v>351</v>
      </c>
      <c r="BC3" s="17" t="s">
        <v>61</v>
      </c>
      <c r="BD3" s="16"/>
      <c r="BE3" s="17" t="s">
        <v>62</v>
      </c>
      <c r="BF3" s="17" t="s">
        <v>172</v>
      </c>
      <c r="BG3" s="17" t="s">
        <v>352</v>
      </c>
      <c r="BH3" s="16"/>
    </row>
    <row r="4" spans="1:60" ht="56" x14ac:dyDescent="0.15">
      <c r="A4" s="15" t="s">
        <v>70</v>
      </c>
      <c r="B4" s="17">
        <v>2</v>
      </c>
      <c r="C4" s="17">
        <v>2</v>
      </c>
      <c r="D4" s="17">
        <v>0</v>
      </c>
      <c r="E4" s="17">
        <v>1.0143884892086299</v>
      </c>
      <c r="F4" s="17">
        <v>0.73782966705039099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2</v>
      </c>
      <c r="V4" s="16"/>
      <c r="W4" s="16"/>
      <c r="X4" s="16"/>
      <c r="Y4" s="16"/>
      <c r="Z4" s="17">
        <v>4.8776038330979601</v>
      </c>
      <c r="AA4" s="16"/>
      <c r="AB4" s="17">
        <v>4.8709313750732699</v>
      </c>
      <c r="AC4" s="17">
        <v>4.8776038330979601</v>
      </c>
      <c r="AD4" s="17">
        <v>4.8776038330979601</v>
      </c>
      <c r="AE4" s="17">
        <v>5.6178028751164701</v>
      </c>
      <c r="AF4" s="17">
        <v>1.0143884892086299</v>
      </c>
      <c r="AG4" s="17">
        <v>0.73782966705039099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>
        <v>3.1</v>
      </c>
      <c r="BA4" s="17">
        <v>1</v>
      </c>
      <c r="BB4" s="17" t="s">
        <v>351</v>
      </c>
      <c r="BC4" s="17" t="s">
        <v>61</v>
      </c>
      <c r="BD4" s="16"/>
      <c r="BE4" s="17" t="s">
        <v>62</v>
      </c>
      <c r="BF4" s="17" t="s">
        <v>172</v>
      </c>
      <c r="BG4" s="17" t="s">
        <v>352</v>
      </c>
      <c r="BH4" s="16"/>
    </row>
    <row r="5" spans="1:60" ht="56" x14ac:dyDescent="0.15">
      <c r="A5" s="15" t="s">
        <v>66</v>
      </c>
      <c r="B5" s="17">
        <v>3</v>
      </c>
      <c r="C5" s="17">
        <v>3</v>
      </c>
      <c r="D5" s="17">
        <v>0</v>
      </c>
      <c r="E5" s="17">
        <v>1.0143884892086299</v>
      </c>
      <c r="F5" s="17">
        <v>0.72185487509705104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</v>
      </c>
      <c r="V5" s="16"/>
      <c r="W5" s="16"/>
      <c r="X5" s="16"/>
      <c r="Y5" s="16"/>
      <c r="Z5" s="17">
        <v>5.6270749580580697</v>
      </c>
      <c r="AA5" s="16"/>
      <c r="AB5" s="17">
        <v>5.6203459580428898</v>
      </c>
      <c r="AC5" s="17">
        <v>5.6270749580580697</v>
      </c>
      <c r="AD5" s="17">
        <v>5.6270749580580697</v>
      </c>
      <c r="AE5" s="17">
        <v>6.3511966250371197</v>
      </c>
      <c r="AF5" s="17">
        <v>1.0143884892086299</v>
      </c>
      <c r="AG5" s="17">
        <v>0.72185487509705104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>
        <v>3.1</v>
      </c>
      <c r="BA5" s="17">
        <v>1</v>
      </c>
      <c r="BB5" s="17" t="s">
        <v>351</v>
      </c>
      <c r="BC5" s="17" t="s">
        <v>61</v>
      </c>
      <c r="BD5" s="16"/>
      <c r="BE5" s="17" t="s">
        <v>62</v>
      </c>
      <c r="BF5" s="17" t="s">
        <v>172</v>
      </c>
      <c r="BG5" s="17" t="s">
        <v>352</v>
      </c>
      <c r="BH5" s="16"/>
    </row>
    <row r="6" spans="1:60" ht="56" x14ac:dyDescent="0.15">
      <c r="A6" s="15" t="s">
        <v>74</v>
      </c>
      <c r="B6" s="17">
        <v>4</v>
      </c>
      <c r="C6" s="17">
        <v>4</v>
      </c>
      <c r="D6" s="17">
        <v>0</v>
      </c>
      <c r="E6" s="17">
        <v>1.9640287769784199</v>
      </c>
      <c r="F6" s="17">
        <v>2.0049812500365101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13</v>
      </c>
      <c r="V6" s="16"/>
      <c r="W6" s="16"/>
      <c r="X6" s="16"/>
      <c r="Y6" s="16"/>
      <c r="Z6" s="17">
        <v>6.3602585410699302</v>
      </c>
      <c r="AA6" s="16"/>
      <c r="AB6" s="17">
        <v>6.3535604160279</v>
      </c>
      <c r="AC6" s="17">
        <v>6.3602585410699302</v>
      </c>
      <c r="AD6" s="17">
        <v>6.3602585410699302</v>
      </c>
      <c r="AE6" s="17">
        <v>8.3678290410898608</v>
      </c>
      <c r="AF6" s="17">
        <v>1.9640287769784199</v>
      </c>
      <c r="AG6" s="17">
        <v>2.0049812500365101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>
        <v>3.1</v>
      </c>
      <c r="BA6" s="17">
        <v>1</v>
      </c>
      <c r="BB6" s="17" t="s">
        <v>351</v>
      </c>
      <c r="BC6" s="17" t="s">
        <v>61</v>
      </c>
      <c r="BD6" s="16"/>
      <c r="BE6" s="17" t="s">
        <v>62</v>
      </c>
      <c r="BF6" s="17" t="s">
        <v>172</v>
      </c>
      <c r="BG6" s="17" t="s">
        <v>352</v>
      </c>
      <c r="BH6" s="16"/>
    </row>
    <row r="7" spans="1:60" ht="56" x14ac:dyDescent="0.15">
      <c r="A7" s="15" t="s">
        <v>71</v>
      </c>
      <c r="B7" s="17">
        <v>5</v>
      </c>
      <c r="C7" s="17">
        <v>5</v>
      </c>
      <c r="D7" s="17">
        <v>0</v>
      </c>
      <c r="E7" s="17">
        <v>1.9640287769784199</v>
      </c>
      <c r="F7" s="17">
        <v>1.48901275009848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19</v>
      </c>
      <c r="V7" s="16"/>
      <c r="W7" s="16"/>
      <c r="X7" s="16"/>
      <c r="Y7" s="16"/>
      <c r="Z7" s="17">
        <v>8.3761842499952799</v>
      </c>
      <c r="AA7" s="16"/>
      <c r="AB7" s="17">
        <v>8.3697445411235094</v>
      </c>
      <c r="AC7" s="17">
        <v>8.3761842499952799</v>
      </c>
      <c r="AD7" s="17">
        <v>8.3761842499952799</v>
      </c>
      <c r="AE7" s="17">
        <v>9.8678558750543708</v>
      </c>
      <c r="AF7" s="17">
        <v>1.9640287769784199</v>
      </c>
      <c r="AG7" s="17">
        <v>1.48901275009848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>
        <v>3.1</v>
      </c>
      <c r="BA7" s="17">
        <v>1</v>
      </c>
      <c r="BB7" s="17" t="s">
        <v>351</v>
      </c>
      <c r="BC7" s="17" t="s">
        <v>61</v>
      </c>
      <c r="BD7" s="16"/>
      <c r="BE7" s="17" t="s">
        <v>62</v>
      </c>
      <c r="BF7" s="17" t="s">
        <v>172</v>
      </c>
      <c r="BG7" s="17" t="s">
        <v>352</v>
      </c>
      <c r="BH7" s="16"/>
    </row>
    <row r="8" spans="1:60" ht="56" x14ac:dyDescent="0.15">
      <c r="A8" s="15" t="s">
        <v>69</v>
      </c>
      <c r="B8" s="17">
        <v>6</v>
      </c>
      <c r="C8" s="17">
        <v>6</v>
      </c>
      <c r="D8" s="17">
        <v>0</v>
      </c>
      <c r="E8" s="17">
        <v>1</v>
      </c>
      <c r="F8" s="17">
        <v>1.55571462516673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8</v>
      </c>
      <c r="V8" s="16"/>
      <c r="W8" s="16"/>
      <c r="X8" s="16"/>
      <c r="Y8" s="16"/>
      <c r="Z8" s="17">
        <v>9.8764471660833806</v>
      </c>
      <c r="AA8" s="16"/>
      <c r="AB8" s="17">
        <v>9.8698025830090099</v>
      </c>
      <c r="AC8" s="17">
        <v>9.8764471660833806</v>
      </c>
      <c r="AD8" s="17">
        <v>9.8764471660833806</v>
      </c>
      <c r="AE8" s="17">
        <v>11.434514875058101</v>
      </c>
      <c r="AF8" s="17">
        <v>1</v>
      </c>
      <c r="AG8" s="17">
        <v>1.55571462516673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>
        <v>3.1</v>
      </c>
      <c r="BA8" s="17">
        <v>1</v>
      </c>
      <c r="BB8" s="17" t="s">
        <v>351</v>
      </c>
      <c r="BC8" s="17" t="s">
        <v>61</v>
      </c>
      <c r="BD8" s="16"/>
      <c r="BE8" s="17" t="s">
        <v>62</v>
      </c>
      <c r="BF8" s="17" t="s">
        <v>172</v>
      </c>
      <c r="BG8" s="17" t="s">
        <v>352</v>
      </c>
      <c r="BH8" s="16"/>
    </row>
    <row r="9" spans="1:60" ht="56" x14ac:dyDescent="0.15">
      <c r="A9" s="15" t="s">
        <v>68</v>
      </c>
      <c r="B9" s="17">
        <v>7</v>
      </c>
      <c r="C9" s="17">
        <v>7</v>
      </c>
      <c r="D9" s="17">
        <v>0</v>
      </c>
      <c r="E9" s="17">
        <v>3.0107913669064699</v>
      </c>
      <c r="F9" s="17">
        <v>1.7888105001766199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17</v>
      </c>
      <c r="V9" s="16"/>
      <c r="W9" s="16"/>
      <c r="X9" s="16"/>
      <c r="Y9" s="16"/>
      <c r="Z9" s="17">
        <v>11.4429362080991</v>
      </c>
      <c r="AA9" s="16"/>
      <c r="AB9" s="17">
        <v>11.436379250139</v>
      </c>
      <c r="AC9" s="17">
        <v>11.4429362080991</v>
      </c>
      <c r="AD9" s="17">
        <v>11.4429362080991</v>
      </c>
      <c r="AE9" s="17">
        <v>13.234511208022001</v>
      </c>
      <c r="AF9" s="17">
        <v>3.0107913669064699</v>
      </c>
      <c r="AG9" s="17">
        <v>1.7888105001766199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>
        <v>3.1</v>
      </c>
      <c r="BA9" s="17">
        <v>1</v>
      </c>
      <c r="BB9" s="17" t="s">
        <v>351</v>
      </c>
      <c r="BC9" s="17" t="s">
        <v>61</v>
      </c>
      <c r="BD9" s="16"/>
      <c r="BE9" s="17" t="s">
        <v>62</v>
      </c>
      <c r="BF9" s="17" t="s">
        <v>172</v>
      </c>
      <c r="BG9" s="17" t="s">
        <v>352</v>
      </c>
      <c r="BH9" s="16"/>
    </row>
    <row r="10" spans="1:60" ht="56" x14ac:dyDescent="0.15">
      <c r="A10" s="15" t="s">
        <v>79</v>
      </c>
      <c r="B10" s="17">
        <v>8</v>
      </c>
      <c r="C10" s="17">
        <v>8</v>
      </c>
      <c r="D10" s="17">
        <v>0</v>
      </c>
      <c r="E10" s="17">
        <v>1.94244604316547</v>
      </c>
      <c r="F10" s="17">
        <v>1.5057593749370399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3</v>
      </c>
      <c r="V10" s="16"/>
      <c r="W10" s="16"/>
      <c r="X10" s="16"/>
      <c r="Y10" s="16"/>
      <c r="Z10" s="17">
        <v>13.2426248330157</v>
      </c>
      <c r="AA10" s="16"/>
      <c r="AB10" s="17">
        <v>13.2361787080299</v>
      </c>
      <c r="AC10" s="17">
        <v>13.2426248330157</v>
      </c>
      <c r="AD10" s="17">
        <v>13.2426248330157</v>
      </c>
      <c r="AE10" s="17">
        <v>14.751260500168399</v>
      </c>
      <c r="AF10" s="17">
        <v>1.94244604316547</v>
      </c>
      <c r="AG10" s="17">
        <v>1.5057593749370399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>
        <v>3.1</v>
      </c>
      <c r="BA10" s="17">
        <v>1</v>
      </c>
      <c r="BB10" s="17" t="s">
        <v>351</v>
      </c>
      <c r="BC10" s="17" t="s">
        <v>61</v>
      </c>
      <c r="BD10" s="16"/>
      <c r="BE10" s="17" t="s">
        <v>62</v>
      </c>
      <c r="BF10" s="17" t="s">
        <v>172</v>
      </c>
      <c r="BG10" s="17" t="s">
        <v>352</v>
      </c>
      <c r="BH10" s="16"/>
    </row>
    <row r="11" spans="1:60" ht="56" x14ac:dyDescent="0.15">
      <c r="A11" s="15" t="s">
        <v>67</v>
      </c>
      <c r="B11" s="17">
        <v>9</v>
      </c>
      <c r="C11" s="17">
        <v>9</v>
      </c>
      <c r="D11" s="17">
        <v>0</v>
      </c>
      <c r="E11" s="17">
        <v>3.0071942446043201</v>
      </c>
      <c r="F11" s="17">
        <v>1.62245087488554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16</v>
      </c>
      <c r="V11" s="16"/>
      <c r="W11" s="16"/>
      <c r="X11" s="16"/>
      <c r="Y11" s="16"/>
      <c r="Z11" s="17">
        <v>14.759468791075101</v>
      </c>
      <c r="AA11" s="16"/>
      <c r="AB11" s="17">
        <v>14.753029083134599</v>
      </c>
      <c r="AC11" s="17">
        <v>14.759468791075101</v>
      </c>
      <c r="AD11" s="17">
        <v>14.759468791075101</v>
      </c>
      <c r="AE11" s="17">
        <v>16.384434583131199</v>
      </c>
      <c r="AF11" s="17">
        <v>3.0071942446043201</v>
      </c>
      <c r="AG11" s="17">
        <v>1.62245087488554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>
        <v>3.1</v>
      </c>
      <c r="BA11" s="17">
        <v>1</v>
      </c>
      <c r="BB11" s="17" t="s">
        <v>351</v>
      </c>
      <c r="BC11" s="17" t="s">
        <v>61</v>
      </c>
      <c r="BD11" s="16"/>
      <c r="BE11" s="17" t="s">
        <v>62</v>
      </c>
      <c r="BF11" s="17" t="s">
        <v>172</v>
      </c>
      <c r="BG11" s="17" t="s">
        <v>352</v>
      </c>
      <c r="BH11" s="16"/>
    </row>
    <row r="12" spans="1:60" ht="56" x14ac:dyDescent="0.15">
      <c r="A12" s="15" t="s">
        <v>82</v>
      </c>
      <c r="B12" s="17">
        <v>10</v>
      </c>
      <c r="C12" s="17">
        <v>10</v>
      </c>
      <c r="D12" s="17">
        <v>0</v>
      </c>
      <c r="E12" s="17">
        <v>1.9640287769784199</v>
      </c>
      <c r="F12" s="17">
        <v>2.50581679213792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9</v>
      </c>
      <c r="V12" s="16"/>
      <c r="W12" s="16"/>
      <c r="X12" s="16"/>
      <c r="Y12" s="16"/>
      <c r="Z12" s="17">
        <v>16.392783875111501</v>
      </c>
      <c r="AA12" s="16"/>
      <c r="AB12" s="17">
        <v>16.3862442080863</v>
      </c>
      <c r="AC12" s="17">
        <v>16.392783875111501</v>
      </c>
      <c r="AD12" s="17">
        <v>16.392783875111501</v>
      </c>
      <c r="AE12" s="17">
        <v>18.901185624999901</v>
      </c>
      <c r="AF12" s="17">
        <v>1.9640287769784199</v>
      </c>
      <c r="AG12" s="17">
        <v>2.50581679213792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>
        <v>3.1</v>
      </c>
      <c r="BA12" s="17">
        <v>1</v>
      </c>
      <c r="BB12" s="17" t="s">
        <v>351</v>
      </c>
      <c r="BC12" s="17" t="s">
        <v>61</v>
      </c>
      <c r="BD12" s="16"/>
      <c r="BE12" s="17" t="s">
        <v>62</v>
      </c>
      <c r="BF12" s="17" t="s">
        <v>172</v>
      </c>
      <c r="BG12" s="17" t="s">
        <v>352</v>
      </c>
      <c r="BH12" s="16"/>
    </row>
    <row r="13" spans="1:60" ht="56" x14ac:dyDescent="0.15">
      <c r="A13" s="15" t="s">
        <v>65</v>
      </c>
      <c r="B13" s="17">
        <v>11</v>
      </c>
      <c r="C13" s="17">
        <v>11</v>
      </c>
      <c r="D13" s="17">
        <v>0</v>
      </c>
      <c r="E13" s="17">
        <v>2.8705035971222999</v>
      </c>
      <c r="F13" s="17">
        <v>2.8553608749061801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11</v>
      </c>
      <c r="V13" s="16"/>
      <c r="W13" s="16"/>
      <c r="X13" s="16"/>
      <c r="Y13" s="16"/>
      <c r="Z13" s="17">
        <v>18.909612541087</v>
      </c>
      <c r="AA13" s="16"/>
      <c r="AB13" s="17">
        <v>18.903123666066701</v>
      </c>
      <c r="AC13" s="17">
        <v>18.909612541087</v>
      </c>
      <c r="AD13" s="17">
        <v>18.909612541087</v>
      </c>
      <c r="AE13" s="17">
        <v>21.7677946251351</v>
      </c>
      <c r="AF13" s="17">
        <v>2.8705035971222999</v>
      </c>
      <c r="AG13" s="17">
        <v>2.8553608749061801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>
        <v>3.1</v>
      </c>
      <c r="BA13" s="17">
        <v>1</v>
      </c>
      <c r="BB13" s="17" t="s">
        <v>351</v>
      </c>
      <c r="BC13" s="17" t="s">
        <v>61</v>
      </c>
      <c r="BD13" s="16"/>
      <c r="BE13" s="17" t="s">
        <v>62</v>
      </c>
      <c r="BF13" s="17" t="s">
        <v>172</v>
      </c>
      <c r="BG13" s="17" t="s">
        <v>352</v>
      </c>
      <c r="BH13" s="16"/>
    </row>
    <row r="14" spans="1:60" ht="56" x14ac:dyDescent="0.15">
      <c r="A14" s="15" t="s">
        <v>75</v>
      </c>
      <c r="B14" s="17">
        <v>12</v>
      </c>
      <c r="C14" s="17">
        <v>12</v>
      </c>
      <c r="D14" s="17">
        <v>0</v>
      </c>
      <c r="E14" s="17">
        <v>3.4352517985611501</v>
      </c>
      <c r="F14" s="17">
        <v>1.9892591671086799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7</v>
      </c>
      <c r="V14" s="16"/>
      <c r="W14" s="16"/>
      <c r="X14" s="16"/>
      <c r="Y14" s="16"/>
      <c r="Z14" s="17">
        <v>21.775952833006201</v>
      </c>
      <c r="AA14" s="16"/>
      <c r="AB14" s="17">
        <v>21.769482332980299</v>
      </c>
      <c r="AC14" s="17">
        <v>21.775952833006201</v>
      </c>
      <c r="AD14" s="17">
        <v>21.775952833006201</v>
      </c>
      <c r="AE14" s="17">
        <v>23.767745624994902</v>
      </c>
      <c r="AF14" s="17">
        <v>3.4352517985611501</v>
      </c>
      <c r="AG14" s="17">
        <v>1.9892591671086799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>
        <v>3.1</v>
      </c>
      <c r="BA14" s="17">
        <v>1</v>
      </c>
      <c r="BB14" s="17" t="s">
        <v>351</v>
      </c>
      <c r="BC14" s="17" t="s">
        <v>61</v>
      </c>
      <c r="BD14" s="16"/>
      <c r="BE14" s="17" t="s">
        <v>62</v>
      </c>
      <c r="BF14" s="17" t="s">
        <v>172</v>
      </c>
      <c r="BG14" s="17" t="s">
        <v>352</v>
      </c>
      <c r="BH14" s="16"/>
    </row>
    <row r="15" spans="1:60" ht="56" x14ac:dyDescent="0.15">
      <c r="A15" s="15" t="s">
        <v>80</v>
      </c>
      <c r="B15" s="17">
        <v>13</v>
      </c>
      <c r="C15" s="17">
        <v>13</v>
      </c>
      <c r="D15" s="17">
        <v>0</v>
      </c>
      <c r="E15" s="17">
        <v>3.9820143884892101</v>
      </c>
      <c r="F15" s="17">
        <v>1.1890874169766901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15</v>
      </c>
      <c r="V15" s="16"/>
      <c r="W15" s="16"/>
      <c r="X15" s="16"/>
      <c r="Y15" s="16"/>
      <c r="Z15" s="17">
        <v>23.776141750160601</v>
      </c>
      <c r="AA15" s="16"/>
      <c r="AB15" s="17">
        <v>23.769640708109399</v>
      </c>
      <c r="AC15" s="17">
        <v>23.776141750160601</v>
      </c>
      <c r="AD15" s="17">
        <v>23.776141750160601</v>
      </c>
      <c r="AE15" s="17">
        <v>24.967818833189099</v>
      </c>
      <c r="AF15" s="17">
        <v>3.9820143884892101</v>
      </c>
      <c r="AG15" s="17">
        <v>1.1890874169766901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>
        <v>3.1</v>
      </c>
      <c r="BA15" s="17">
        <v>1</v>
      </c>
      <c r="BB15" s="17" t="s">
        <v>351</v>
      </c>
      <c r="BC15" s="17" t="s">
        <v>61</v>
      </c>
      <c r="BD15" s="16"/>
      <c r="BE15" s="17" t="s">
        <v>62</v>
      </c>
      <c r="BF15" s="17" t="s">
        <v>172</v>
      </c>
      <c r="BG15" s="17" t="s">
        <v>352</v>
      </c>
      <c r="BH15" s="16"/>
    </row>
    <row r="16" spans="1:60" ht="56" x14ac:dyDescent="0.15">
      <c r="A16" s="15" t="s">
        <v>72</v>
      </c>
      <c r="B16" s="17">
        <v>14</v>
      </c>
      <c r="C16" s="17">
        <v>14</v>
      </c>
      <c r="D16" s="17">
        <v>0</v>
      </c>
      <c r="E16" s="17">
        <v>4.2302158273381298</v>
      </c>
      <c r="F16" s="17">
        <v>0.92269370891153801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0</v>
      </c>
      <c r="V16" s="16"/>
      <c r="W16" s="16"/>
      <c r="X16" s="16"/>
      <c r="Y16" s="16"/>
      <c r="Z16" s="17">
        <v>24.976036207983299</v>
      </c>
      <c r="AA16" s="16"/>
      <c r="AB16" s="17">
        <v>24.969487375114099</v>
      </c>
      <c r="AC16" s="17">
        <v>24.976036207983299</v>
      </c>
      <c r="AD16" s="17">
        <v>24.976036207983299</v>
      </c>
      <c r="AE16" s="17">
        <v>25.901122708106399</v>
      </c>
      <c r="AF16" s="17">
        <v>4.2302158273381298</v>
      </c>
      <c r="AG16" s="17">
        <v>0.92269370891153801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>
        <v>3.1</v>
      </c>
      <c r="BA16" s="17">
        <v>1</v>
      </c>
      <c r="BB16" s="17" t="s">
        <v>351</v>
      </c>
      <c r="BC16" s="17" t="s">
        <v>61</v>
      </c>
      <c r="BD16" s="16"/>
      <c r="BE16" s="17" t="s">
        <v>62</v>
      </c>
      <c r="BF16" s="17" t="s">
        <v>172</v>
      </c>
      <c r="BG16" s="17" t="s">
        <v>352</v>
      </c>
      <c r="BH16" s="16"/>
    </row>
    <row r="17" spans="1:60" ht="56" x14ac:dyDescent="0.15">
      <c r="A17" s="15" t="s">
        <v>73</v>
      </c>
      <c r="B17" s="17">
        <v>15</v>
      </c>
      <c r="C17" s="17">
        <v>15</v>
      </c>
      <c r="D17" s="17">
        <v>0</v>
      </c>
      <c r="E17" s="17">
        <v>4.2050359712230199</v>
      </c>
      <c r="F17" s="17">
        <v>1.5550613750238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14</v>
      </c>
      <c r="V17" s="16"/>
      <c r="W17" s="16"/>
      <c r="X17" s="16"/>
      <c r="Y17" s="16"/>
      <c r="Z17" s="17">
        <v>25.910327041056</v>
      </c>
      <c r="AA17" s="16"/>
      <c r="AB17" s="17">
        <v>25.903664416167899</v>
      </c>
      <c r="AC17" s="17">
        <v>25.910327041056</v>
      </c>
      <c r="AD17" s="17">
        <v>25.910327041056</v>
      </c>
      <c r="AE17" s="17">
        <v>27.467820291174601</v>
      </c>
      <c r="AF17" s="17">
        <v>4.2050359712230199</v>
      </c>
      <c r="AG17" s="17">
        <v>1.5550613750238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>
        <v>3.1</v>
      </c>
      <c r="BA17" s="17">
        <v>1</v>
      </c>
      <c r="BB17" s="17" t="s">
        <v>351</v>
      </c>
      <c r="BC17" s="17" t="s">
        <v>61</v>
      </c>
      <c r="BD17" s="16"/>
      <c r="BE17" s="17" t="s">
        <v>62</v>
      </c>
      <c r="BF17" s="17" t="s">
        <v>172</v>
      </c>
      <c r="BG17" s="17" t="s">
        <v>352</v>
      </c>
      <c r="BH17" s="16"/>
    </row>
    <row r="18" spans="1:60" ht="56" x14ac:dyDescent="0.15">
      <c r="A18" s="15" t="s">
        <v>81</v>
      </c>
      <c r="B18" s="17">
        <v>16</v>
      </c>
      <c r="C18" s="17">
        <v>16</v>
      </c>
      <c r="D18" s="17">
        <v>0</v>
      </c>
      <c r="E18" s="17">
        <v>3.33453237410072</v>
      </c>
      <c r="F18" s="17">
        <v>1.35580866714008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4</v>
      </c>
      <c r="V18" s="16"/>
      <c r="W18" s="16"/>
      <c r="X18" s="16"/>
      <c r="Y18" s="16"/>
      <c r="Z18" s="17">
        <v>27.476035790983602</v>
      </c>
      <c r="AA18" s="16"/>
      <c r="AB18" s="17">
        <v>27.469469291157999</v>
      </c>
      <c r="AC18" s="17">
        <v>27.476035790983602</v>
      </c>
      <c r="AD18" s="17">
        <v>27.476035790983602</v>
      </c>
      <c r="AE18" s="17">
        <v>28.834452375071098</v>
      </c>
      <c r="AF18" s="17">
        <v>3.33453237410072</v>
      </c>
      <c r="AG18" s="17">
        <v>1.35580866714008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>
        <v>3.1</v>
      </c>
      <c r="BA18" s="17">
        <v>1</v>
      </c>
      <c r="BB18" s="17" t="s">
        <v>351</v>
      </c>
      <c r="BC18" s="17" t="s">
        <v>61</v>
      </c>
      <c r="BD18" s="16"/>
      <c r="BE18" s="17" t="s">
        <v>62</v>
      </c>
      <c r="BF18" s="17" t="s">
        <v>172</v>
      </c>
      <c r="BG18" s="17" t="s">
        <v>352</v>
      </c>
      <c r="BH18" s="16"/>
    </row>
    <row r="19" spans="1:60" ht="56" x14ac:dyDescent="0.15">
      <c r="A19" s="15" t="s">
        <v>59</v>
      </c>
      <c r="B19" s="17">
        <v>17</v>
      </c>
      <c r="C19" s="17">
        <v>17</v>
      </c>
      <c r="D19" s="17">
        <v>0</v>
      </c>
      <c r="E19" s="17">
        <v>1.5647482014388501</v>
      </c>
      <c r="F19" s="17">
        <v>1.40563691686839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12</v>
      </c>
      <c r="V19" s="16"/>
      <c r="W19" s="16"/>
      <c r="X19" s="16"/>
      <c r="Y19" s="16"/>
      <c r="Z19" s="17">
        <v>28.842990250093901</v>
      </c>
      <c r="AA19" s="16"/>
      <c r="AB19" s="17">
        <v>28.836307875113601</v>
      </c>
      <c r="AC19" s="17">
        <v>28.842990250093901</v>
      </c>
      <c r="AD19" s="17">
        <v>28.842990250093901</v>
      </c>
      <c r="AE19" s="17">
        <v>30.251186541048799</v>
      </c>
      <c r="AF19" s="17">
        <v>1.5647482014388501</v>
      </c>
      <c r="AG19" s="17">
        <v>1.40563691686839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>
        <v>3.1</v>
      </c>
      <c r="BA19" s="17">
        <v>1</v>
      </c>
      <c r="BB19" s="17" t="s">
        <v>351</v>
      </c>
      <c r="BC19" s="17" t="s">
        <v>61</v>
      </c>
      <c r="BD19" s="16"/>
      <c r="BE19" s="17" t="s">
        <v>62</v>
      </c>
      <c r="BF19" s="17" t="s">
        <v>172</v>
      </c>
      <c r="BG19" s="17" t="s">
        <v>352</v>
      </c>
      <c r="BH19" s="16"/>
    </row>
    <row r="20" spans="1:60" ht="56" x14ac:dyDescent="0.15">
      <c r="A20" s="15" t="s">
        <v>76</v>
      </c>
      <c r="B20" s="17">
        <v>18</v>
      </c>
      <c r="C20" s="17">
        <v>18</v>
      </c>
      <c r="D20" s="17">
        <v>0</v>
      </c>
      <c r="E20" s="17">
        <v>1.5899280575539601</v>
      </c>
      <c r="F20" s="17">
        <v>1.1556836250238101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6</v>
      </c>
      <c r="V20" s="16"/>
      <c r="W20" s="16"/>
      <c r="X20" s="16"/>
      <c r="Y20" s="16"/>
      <c r="Z20" s="17">
        <v>30.2597235001158</v>
      </c>
      <c r="AA20" s="16"/>
      <c r="AB20" s="17">
        <v>30.2530671251006</v>
      </c>
      <c r="AC20" s="17">
        <v>30.2597235001158</v>
      </c>
      <c r="AD20" s="17">
        <v>30.2597235001158</v>
      </c>
      <c r="AE20" s="17">
        <v>31.417723000049602</v>
      </c>
      <c r="AF20" s="17">
        <v>1.5899280575539601</v>
      </c>
      <c r="AG20" s="17">
        <v>1.1556836250238101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>
        <v>3.1</v>
      </c>
      <c r="BA20" s="17">
        <v>1</v>
      </c>
      <c r="BB20" s="17" t="s">
        <v>351</v>
      </c>
      <c r="BC20" s="17" t="s">
        <v>61</v>
      </c>
      <c r="BD20" s="16"/>
      <c r="BE20" s="17" t="s">
        <v>62</v>
      </c>
      <c r="BF20" s="17" t="s">
        <v>172</v>
      </c>
      <c r="BG20" s="17" t="s">
        <v>352</v>
      </c>
      <c r="BH20" s="16"/>
    </row>
    <row r="21" spans="1:60" ht="56" x14ac:dyDescent="0.15">
      <c r="A21" s="15" t="s">
        <v>77</v>
      </c>
      <c r="B21" s="17">
        <v>19</v>
      </c>
      <c r="C21" s="17">
        <v>19</v>
      </c>
      <c r="D21" s="17">
        <v>0</v>
      </c>
      <c r="E21" s="17">
        <v>2.5719424460431699</v>
      </c>
      <c r="F21" s="17">
        <v>2.2554808750283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10</v>
      </c>
      <c r="V21" s="16"/>
      <c r="W21" s="16"/>
      <c r="X21" s="16"/>
      <c r="Y21" s="16"/>
      <c r="Z21" s="17">
        <v>31.426690499996798</v>
      </c>
      <c r="AA21" s="16"/>
      <c r="AB21" s="17">
        <v>31.420074166031601</v>
      </c>
      <c r="AC21" s="17">
        <v>31.426690499996798</v>
      </c>
      <c r="AD21" s="17">
        <v>31.426690499996798</v>
      </c>
      <c r="AE21" s="17">
        <v>33.684505541110397</v>
      </c>
      <c r="AF21" s="17">
        <v>2.5719424460431699</v>
      </c>
      <c r="AG21" s="17">
        <v>2.2554808750283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>
        <v>3.1</v>
      </c>
      <c r="BA21" s="17">
        <v>1</v>
      </c>
      <c r="BB21" s="17" t="s">
        <v>351</v>
      </c>
      <c r="BC21" s="17" t="s">
        <v>61</v>
      </c>
      <c r="BD21" s="16"/>
      <c r="BE21" s="17" t="s">
        <v>62</v>
      </c>
      <c r="BF21" s="17" t="s">
        <v>172</v>
      </c>
      <c r="BG21" s="17" t="s">
        <v>352</v>
      </c>
      <c r="BH21" s="16"/>
    </row>
    <row r="22" spans="1:60" ht="98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22" t="s">
        <v>144</v>
      </c>
      <c r="H22" s="22" t="s">
        <v>81</v>
      </c>
      <c r="I22" s="22" t="s">
        <v>84</v>
      </c>
      <c r="J22" s="22" t="s">
        <v>353</v>
      </c>
      <c r="K22" s="17" t="s">
        <v>354</v>
      </c>
      <c r="L22" s="17" t="s">
        <v>355</v>
      </c>
      <c r="M22" s="17" t="s">
        <v>110</v>
      </c>
      <c r="N22" s="17" t="s">
        <v>111</v>
      </c>
      <c r="O22" s="17" t="s">
        <v>111</v>
      </c>
      <c r="P22" s="17" t="s">
        <v>356</v>
      </c>
      <c r="Q22" s="17" t="s">
        <v>113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4</v>
      </c>
      <c r="Z22" s="17">
        <v>33.701520166126997</v>
      </c>
      <c r="AA22" s="16"/>
      <c r="AB22" s="16"/>
      <c r="AC22" s="16"/>
      <c r="AD22" s="16"/>
      <c r="AE22" s="16"/>
      <c r="AF22" s="16"/>
      <c r="AG22" s="16"/>
      <c r="AH22" s="17">
        <v>33.693175916094297</v>
      </c>
      <c r="AI22" s="17">
        <v>33.701520166126997</v>
      </c>
      <c r="AJ22" s="17">
        <v>33.701520166126997</v>
      </c>
      <c r="AK22" s="17">
        <v>33.701520166126997</v>
      </c>
      <c r="AL22" s="17">
        <v>8.6713340133428608E-3</v>
      </c>
      <c r="AM22" s="17">
        <v>40.609738125000199</v>
      </c>
      <c r="AN22" s="17" t="s">
        <v>353</v>
      </c>
      <c r="AO22" s="17" t="s">
        <v>354</v>
      </c>
      <c r="AP22" s="17" t="s">
        <v>355</v>
      </c>
      <c r="AQ22" s="17" t="s">
        <v>110</v>
      </c>
      <c r="AR22" s="17" t="s">
        <v>111</v>
      </c>
      <c r="AS22" s="17" t="s">
        <v>111</v>
      </c>
      <c r="AT22" s="17" t="s">
        <v>356</v>
      </c>
      <c r="AU22" s="17" t="s">
        <v>113</v>
      </c>
      <c r="AV22" s="16"/>
      <c r="AW22" s="16"/>
      <c r="AX22" s="16"/>
      <c r="AY22" s="16"/>
      <c r="AZ22" s="17">
        <v>3.1</v>
      </c>
      <c r="BA22" s="17">
        <v>1</v>
      </c>
      <c r="BB22" s="17" t="s">
        <v>351</v>
      </c>
      <c r="BC22" s="17" t="s">
        <v>61</v>
      </c>
      <c r="BD22" s="16"/>
      <c r="BE22" s="17" t="s">
        <v>62</v>
      </c>
      <c r="BF22" s="17" t="s">
        <v>172</v>
      </c>
      <c r="BG22" s="17" t="s">
        <v>352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22" t="s">
        <v>120</v>
      </c>
      <c r="H23" s="22" t="s">
        <v>121</v>
      </c>
      <c r="I23" s="22" t="s">
        <v>96</v>
      </c>
      <c r="J23" s="23"/>
      <c r="K23" s="17" t="s">
        <v>93</v>
      </c>
      <c r="L23" s="17" t="s">
        <v>93</v>
      </c>
      <c r="M23" s="17" t="s">
        <v>93</v>
      </c>
      <c r="N23" s="17" t="s">
        <v>93</v>
      </c>
      <c r="O23" s="17" t="s">
        <v>93</v>
      </c>
      <c r="P23" s="17" t="s">
        <v>93</v>
      </c>
      <c r="Q23" s="17" t="s">
        <v>93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24</v>
      </c>
      <c r="Z23" s="17">
        <v>40.621252583107001</v>
      </c>
      <c r="AA23" s="16"/>
      <c r="AB23" s="16"/>
      <c r="AC23" s="16"/>
      <c r="AD23" s="16"/>
      <c r="AE23" s="16"/>
      <c r="AF23" s="16"/>
      <c r="AG23" s="16"/>
      <c r="AH23" s="17">
        <v>40.611858416115901</v>
      </c>
      <c r="AI23" s="17">
        <v>40.621252583107001</v>
      </c>
      <c r="AJ23" s="17">
        <v>40.621252583107001</v>
      </c>
      <c r="AK23" s="17">
        <v>40.621252583107001</v>
      </c>
      <c r="AL23" s="17">
        <v>1.95712503045797E-3</v>
      </c>
      <c r="AM23" s="17">
        <v>50.607497333083302</v>
      </c>
      <c r="AN23" s="16"/>
      <c r="AO23" s="17" t="s">
        <v>93</v>
      </c>
      <c r="AP23" s="17" t="s">
        <v>93</v>
      </c>
      <c r="AQ23" s="17" t="s">
        <v>93</v>
      </c>
      <c r="AR23" s="17" t="s">
        <v>93</v>
      </c>
      <c r="AS23" s="17" t="s">
        <v>93</v>
      </c>
      <c r="AT23" s="17" t="s">
        <v>93</v>
      </c>
      <c r="AU23" s="17" t="s">
        <v>93</v>
      </c>
      <c r="AV23" s="17">
        <v>50.616761875106</v>
      </c>
      <c r="AW23" s="17">
        <v>50.616761875106</v>
      </c>
      <c r="AX23" s="17">
        <v>50.616761875106</v>
      </c>
      <c r="AY23" s="17">
        <v>9.9974586248863506</v>
      </c>
      <c r="AZ23" s="17">
        <v>3.1</v>
      </c>
      <c r="BA23" s="17">
        <v>1</v>
      </c>
      <c r="BB23" s="17" t="s">
        <v>351</v>
      </c>
      <c r="BC23" s="17" t="s">
        <v>61</v>
      </c>
      <c r="BD23" s="16"/>
      <c r="BE23" s="17" t="s">
        <v>62</v>
      </c>
      <c r="BF23" s="17" t="s">
        <v>172</v>
      </c>
      <c r="BG23" s="17" t="s">
        <v>352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152</v>
      </c>
      <c r="H24" s="22" t="s">
        <v>153</v>
      </c>
      <c r="I24" s="22" t="s">
        <v>96</v>
      </c>
      <c r="J24" s="23"/>
      <c r="K24" s="17" t="s">
        <v>101</v>
      </c>
      <c r="L24" s="17" t="s">
        <v>241</v>
      </c>
      <c r="M24" s="17" t="s">
        <v>87</v>
      </c>
      <c r="N24" s="17" t="s">
        <v>88</v>
      </c>
      <c r="O24" s="17" t="s">
        <v>88</v>
      </c>
      <c r="P24" s="17" t="s">
        <v>357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20</v>
      </c>
      <c r="Z24" s="17">
        <v>50.616761875106</v>
      </c>
      <c r="AA24" s="16"/>
      <c r="AB24" s="16"/>
      <c r="AC24" s="16"/>
      <c r="AD24" s="16"/>
      <c r="AE24" s="16"/>
      <c r="AF24" s="16"/>
      <c r="AG24" s="16"/>
      <c r="AH24" s="17">
        <v>50.609440875006797</v>
      </c>
      <c r="AI24" s="17">
        <v>50.616761875106</v>
      </c>
      <c r="AJ24" s="17">
        <v>50.616761875106</v>
      </c>
      <c r="AK24" s="17">
        <v>50.616761875106</v>
      </c>
      <c r="AL24" s="17">
        <v>-4.6520796604454501E-4</v>
      </c>
      <c r="AM24" s="17">
        <v>60.475225916132302</v>
      </c>
      <c r="AN24" s="16"/>
      <c r="AO24" s="17" t="s">
        <v>101</v>
      </c>
      <c r="AP24" s="17" t="s">
        <v>241</v>
      </c>
      <c r="AQ24" s="17" t="s">
        <v>87</v>
      </c>
      <c r="AR24" s="17" t="s">
        <v>88</v>
      </c>
      <c r="AS24" s="17" t="s">
        <v>88</v>
      </c>
      <c r="AT24" s="17" t="s">
        <v>357</v>
      </c>
      <c r="AU24" s="17" t="s">
        <v>90</v>
      </c>
      <c r="AV24" s="16"/>
      <c r="AW24" s="16"/>
      <c r="AX24" s="16"/>
      <c r="AY24" s="16"/>
      <c r="AZ24" s="17">
        <v>3.1</v>
      </c>
      <c r="BA24" s="17">
        <v>1</v>
      </c>
      <c r="BB24" s="17" t="s">
        <v>351</v>
      </c>
      <c r="BC24" s="17" t="s">
        <v>61</v>
      </c>
      <c r="BD24" s="16"/>
      <c r="BE24" s="17" t="s">
        <v>62</v>
      </c>
      <c r="BF24" s="17" t="s">
        <v>172</v>
      </c>
      <c r="BG24" s="17" t="s">
        <v>352</v>
      </c>
      <c r="BH24" s="16"/>
    </row>
    <row r="25" spans="1:60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17" t="s">
        <v>136</v>
      </c>
      <c r="H25" s="17" t="s">
        <v>69</v>
      </c>
      <c r="I25" s="17" t="s">
        <v>84</v>
      </c>
      <c r="J25" s="17" t="s">
        <v>69</v>
      </c>
      <c r="K25" s="17" t="s">
        <v>358</v>
      </c>
      <c r="L25" s="17" t="s">
        <v>359</v>
      </c>
      <c r="M25" s="17" t="s">
        <v>87</v>
      </c>
      <c r="N25" s="17" t="s">
        <v>88</v>
      </c>
      <c r="O25" s="17" t="s">
        <v>88</v>
      </c>
      <c r="P25" s="17" t="s">
        <v>360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8</v>
      </c>
      <c r="Z25" s="17">
        <v>60.484354166081197</v>
      </c>
      <c r="AA25" s="16"/>
      <c r="AB25" s="16"/>
      <c r="AC25" s="16"/>
      <c r="AD25" s="16"/>
      <c r="AE25" s="16"/>
      <c r="AF25" s="16"/>
      <c r="AG25" s="16"/>
      <c r="AH25" s="17">
        <v>60.4769681661855</v>
      </c>
      <c r="AI25" s="17">
        <v>60.484354166081197</v>
      </c>
      <c r="AJ25" s="17">
        <v>60.484354166081197</v>
      </c>
      <c r="AK25" s="17">
        <v>60.484354166081197</v>
      </c>
      <c r="AL25" s="17">
        <v>1.65041699074209E-3</v>
      </c>
      <c r="AM25" s="17">
        <v>68.695576083147898</v>
      </c>
      <c r="AN25" s="17" t="s">
        <v>69</v>
      </c>
      <c r="AO25" s="17" t="s">
        <v>358</v>
      </c>
      <c r="AP25" s="17" t="s">
        <v>359</v>
      </c>
      <c r="AQ25" s="17" t="s">
        <v>87</v>
      </c>
      <c r="AR25" s="17" t="s">
        <v>88</v>
      </c>
      <c r="AS25" s="17" t="s">
        <v>88</v>
      </c>
      <c r="AT25" s="17" t="s">
        <v>360</v>
      </c>
      <c r="AU25" s="17" t="s">
        <v>90</v>
      </c>
      <c r="AV25" s="16"/>
      <c r="AW25" s="16"/>
      <c r="AX25" s="16"/>
      <c r="AY25" s="16"/>
      <c r="AZ25" s="17">
        <v>3.1</v>
      </c>
      <c r="BA25" s="17">
        <v>1</v>
      </c>
      <c r="BB25" s="17" t="s">
        <v>351</v>
      </c>
      <c r="BC25" s="17" t="s">
        <v>61</v>
      </c>
      <c r="BD25" s="16"/>
      <c r="BE25" s="17" t="s">
        <v>62</v>
      </c>
      <c r="BF25" s="17" t="s">
        <v>172</v>
      </c>
      <c r="BG25" s="17" t="s">
        <v>352</v>
      </c>
      <c r="BH25" s="16"/>
    </row>
    <row r="26" spans="1:60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106</v>
      </c>
      <c r="H26" s="17" t="s">
        <v>107</v>
      </c>
      <c r="I26" s="17" t="s">
        <v>96</v>
      </c>
      <c r="J26" s="17" t="s">
        <v>107</v>
      </c>
      <c r="K26" s="17" t="s">
        <v>361</v>
      </c>
      <c r="L26" s="17" t="s">
        <v>362</v>
      </c>
      <c r="M26" s="17" t="s">
        <v>87</v>
      </c>
      <c r="N26" s="17" t="s">
        <v>88</v>
      </c>
      <c r="O26" s="17" t="s">
        <v>88</v>
      </c>
      <c r="P26" s="17" t="s">
        <v>363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23</v>
      </c>
      <c r="Z26" s="17">
        <v>68.706080291187405</v>
      </c>
      <c r="AA26" s="16"/>
      <c r="AB26" s="16"/>
      <c r="AC26" s="16"/>
      <c r="AD26" s="16"/>
      <c r="AE26" s="16"/>
      <c r="AF26" s="16"/>
      <c r="AG26" s="16"/>
      <c r="AH26" s="17">
        <v>68.697504208190395</v>
      </c>
      <c r="AI26" s="17">
        <v>68.706080291187405</v>
      </c>
      <c r="AJ26" s="17">
        <v>68.706080291187405</v>
      </c>
      <c r="AK26" s="17">
        <v>68.706080291187405</v>
      </c>
      <c r="AL26" s="17">
        <v>1.8902919255197E-3</v>
      </c>
      <c r="AM26" s="17">
        <v>71.626141416141806</v>
      </c>
      <c r="AN26" s="17" t="s">
        <v>107</v>
      </c>
      <c r="AO26" s="17" t="s">
        <v>361</v>
      </c>
      <c r="AP26" s="17" t="s">
        <v>362</v>
      </c>
      <c r="AQ26" s="17" t="s">
        <v>87</v>
      </c>
      <c r="AR26" s="17" t="s">
        <v>88</v>
      </c>
      <c r="AS26" s="17" t="s">
        <v>88</v>
      </c>
      <c r="AT26" s="17" t="s">
        <v>363</v>
      </c>
      <c r="AU26" s="17" t="s">
        <v>90</v>
      </c>
      <c r="AV26" s="16"/>
      <c r="AW26" s="16"/>
      <c r="AX26" s="16"/>
      <c r="AY26" s="16"/>
      <c r="AZ26" s="17">
        <v>3.1</v>
      </c>
      <c r="BA26" s="17">
        <v>1</v>
      </c>
      <c r="BB26" s="17" t="s">
        <v>351</v>
      </c>
      <c r="BC26" s="17" t="s">
        <v>61</v>
      </c>
      <c r="BD26" s="16"/>
      <c r="BE26" s="17" t="s">
        <v>62</v>
      </c>
      <c r="BF26" s="17" t="s">
        <v>172</v>
      </c>
      <c r="BG26" s="17" t="s">
        <v>352</v>
      </c>
      <c r="BH26" s="16"/>
    </row>
    <row r="27" spans="1:60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114</v>
      </c>
      <c r="H27" s="17" t="s">
        <v>73</v>
      </c>
      <c r="I27" s="17" t="s">
        <v>84</v>
      </c>
      <c r="J27" s="17" t="s">
        <v>73</v>
      </c>
      <c r="K27" s="17" t="s">
        <v>364</v>
      </c>
      <c r="L27" s="17" t="s">
        <v>214</v>
      </c>
      <c r="M27" s="17" t="s">
        <v>87</v>
      </c>
      <c r="N27" s="17" t="s">
        <v>88</v>
      </c>
      <c r="O27" s="17" t="s">
        <v>88</v>
      </c>
      <c r="P27" s="17" t="s">
        <v>365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14</v>
      </c>
      <c r="Z27" s="17">
        <v>71.6378830831964</v>
      </c>
      <c r="AA27" s="16"/>
      <c r="AB27" s="16"/>
      <c r="AC27" s="16"/>
      <c r="AD27" s="16"/>
      <c r="AE27" s="16"/>
      <c r="AF27" s="16"/>
      <c r="AG27" s="16"/>
      <c r="AH27" s="17">
        <v>71.628156332997605</v>
      </c>
      <c r="AI27" s="17">
        <v>71.6378830831964</v>
      </c>
      <c r="AJ27" s="17">
        <v>71.6378830831964</v>
      </c>
      <c r="AK27" s="17">
        <v>71.6378830831964</v>
      </c>
      <c r="AL27" s="17">
        <v>1.9180420786142399E-3</v>
      </c>
      <c r="AM27" s="17">
        <v>74.3425619159825</v>
      </c>
      <c r="AN27" s="17" t="s">
        <v>73</v>
      </c>
      <c r="AO27" s="17" t="s">
        <v>364</v>
      </c>
      <c r="AP27" s="17" t="s">
        <v>214</v>
      </c>
      <c r="AQ27" s="17" t="s">
        <v>87</v>
      </c>
      <c r="AR27" s="17" t="s">
        <v>88</v>
      </c>
      <c r="AS27" s="17" t="s">
        <v>88</v>
      </c>
      <c r="AT27" s="17" t="s">
        <v>365</v>
      </c>
      <c r="AU27" s="17" t="s">
        <v>90</v>
      </c>
      <c r="AV27" s="16"/>
      <c r="AW27" s="16"/>
      <c r="AX27" s="16"/>
      <c r="AY27" s="16"/>
      <c r="AZ27" s="17">
        <v>3.1</v>
      </c>
      <c r="BA27" s="17">
        <v>1</v>
      </c>
      <c r="BB27" s="17" t="s">
        <v>351</v>
      </c>
      <c r="BC27" s="17" t="s">
        <v>61</v>
      </c>
      <c r="BD27" s="16"/>
      <c r="BE27" s="17" t="s">
        <v>62</v>
      </c>
      <c r="BF27" s="17" t="s">
        <v>172</v>
      </c>
      <c r="BG27" s="17" t="s">
        <v>352</v>
      </c>
      <c r="BH27" s="16"/>
    </row>
    <row r="28" spans="1:60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17" t="s">
        <v>167</v>
      </c>
      <c r="H28" s="17" t="s">
        <v>59</v>
      </c>
      <c r="I28" s="17" t="s">
        <v>84</v>
      </c>
      <c r="J28" s="17" t="s">
        <v>59</v>
      </c>
      <c r="K28" s="17" t="s">
        <v>233</v>
      </c>
      <c r="L28" s="17" t="s">
        <v>98</v>
      </c>
      <c r="M28" s="17" t="s">
        <v>87</v>
      </c>
      <c r="N28" s="17" t="s">
        <v>88</v>
      </c>
      <c r="O28" s="17" t="s">
        <v>88</v>
      </c>
      <c r="P28" s="17" t="s">
        <v>366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12</v>
      </c>
      <c r="Z28" s="17">
        <v>74.354310958180605</v>
      </c>
      <c r="AA28" s="16"/>
      <c r="AB28" s="16"/>
      <c r="AC28" s="16"/>
      <c r="AD28" s="16"/>
      <c r="AE28" s="16"/>
      <c r="AF28" s="16"/>
      <c r="AG28" s="16"/>
      <c r="AH28" s="17">
        <v>74.344809249974801</v>
      </c>
      <c r="AI28" s="17">
        <v>74.354310958180605</v>
      </c>
      <c r="AJ28" s="17">
        <v>74.354310958180605</v>
      </c>
      <c r="AK28" s="17">
        <v>74.354310958180605</v>
      </c>
      <c r="AL28" s="17">
        <v>2.1539588924497401E-3</v>
      </c>
      <c r="AM28" s="17">
        <v>76.926389625063194</v>
      </c>
      <c r="AN28" s="17" t="s">
        <v>59</v>
      </c>
      <c r="AO28" s="17" t="s">
        <v>233</v>
      </c>
      <c r="AP28" s="17" t="s">
        <v>98</v>
      </c>
      <c r="AQ28" s="17" t="s">
        <v>87</v>
      </c>
      <c r="AR28" s="17" t="s">
        <v>88</v>
      </c>
      <c r="AS28" s="17" t="s">
        <v>88</v>
      </c>
      <c r="AT28" s="17" t="s">
        <v>366</v>
      </c>
      <c r="AU28" s="17" t="s">
        <v>90</v>
      </c>
      <c r="AV28" s="16"/>
      <c r="AW28" s="16"/>
      <c r="AX28" s="16"/>
      <c r="AY28" s="16"/>
      <c r="AZ28" s="17">
        <v>3.1</v>
      </c>
      <c r="BA28" s="17">
        <v>1</v>
      </c>
      <c r="BB28" s="17" t="s">
        <v>351</v>
      </c>
      <c r="BC28" s="17" t="s">
        <v>61</v>
      </c>
      <c r="BD28" s="16"/>
      <c r="BE28" s="17" t="s">
        <v>62</v>
      </c>
      <c r="BF28" s="17" t="s">
        <v>172</v>
      </c>
      <c r="BG28" s="17" t="s">
        <v>352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131</v>
      </c>
      <c r="H29" s="22" t="s">
        <v>76</v>
      </c>
      <c r="I29" s="22" t="s">
        <v>84</v>
      </c>
      <c r="J29" s="22" t="s">
        <v>347</v>
      </c>
      <c r="K29" s="17" t="s">
        <v>161</v>
      </c>
      <c r="L29" s="17" t="s">
        <v>367</v>
      </c>
      <c r="M29" s="17" t="s">
        <v>87</v>
      </c>
      <c r="N29" s="17" t="s">
        <v>88</v>
      </c>
      <c r="O29" s="17" t="s">
        <v>88</v>
      </c>
      <c r="P29" s="17" t="s">
        <v>368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6</v>
      </c>
      <c r="Z29" s="17">
        <v>76.938018750166506</v>
      </c>
      <c r="AA29" s="16"/>
      <c r="AB29" s="16"/>
      <c r="AC29" s="16"/>
      <c r="AD29" s="16"/>
      <c r="AE29" s="16"/>
      <c r="AF29" s="16"/>
      <c r="AG29" s="16"/>
      <c r="AH29" s="17">
        <v>76.928779041161803</v>
      </c>
      <c r="AI29" s="17">
        <v>76.938018750166506</v>
      </c>
      <c r="AJ29" s="17">
        <v>76.938018750166506</v>
      </c>
      <c r="AK29" s="17">
        <v>76.938018750166506</v>
      </c>
      <c r="AL29" s="17">
        <v>2.2985830437392001E-3</v>
      </c>
      <c r="AM29" s="17">
        <v>80.093256625113995</v>
      </c>
      <c r="AN29" s="17" t="s">
        <v>347</v>
      </c>
      <c r="AO29" s="17" t="s">
        <v>161</v>
      </c>
      <c r="AP29" s="17" t="s">
        <v>367</v>
      </c>
      <c r="AQ29" s="17" t="s">
        <v>87</v>
      </c>
      <c r="AR29" s="17" t="s">
        <v>88</v>
      </c>
      <c r="AS29" s="17" t="s">
        <v>88</v>
      </c>
      <c r="AT29" s="17" t="s">
        <v>368</v>
      </c>
      <c r="AU29" s="17" t="s">
        <v>90</v>
      </c>
      <c r="AV29" s="16"/>
      <c r="AW29" s="16"/>
      <c r="AX29" s="16"/>
      <c r="AY29" s="16"/>
      <c r="AZ29" s="17">
        <v>3.1</v>
      </c>
      <c r="BA29" s="17">
        <v>1</v>
      </c>
      <c r="BB29" s="17" t="s">
        <v>351</v>
      </c>
      <c r="BC29" s="17" t="s">
        <v>61</v>
      </c>
      <c r="BD29" s="16"/>
      <c r="BE29" s="17" t="s">
        <v>62</v>
      </c>
      <c r="BF29" s="17" t="s">
        <v>172</v>
      </c>
      <c r="BG29" s="17" t="s">
        <v>352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22" t="s">
        <v>157</v>
      </c>
      <c r="H30" s="22" t="s">
        <v>66</v>
      </c>
      <c r="I30" s="22" t="s">
        <v>84</v>
      </c>
      <c r="J30" s="23"/>
      <c r="K30" s="17" t="s">
        <v>93</v>
      </c>
      <c r="L30" s="17" t="s">
        <v>93</v>
      </c>
      <c r="M30" s="17" t="s">
        <v>93</v>
      </c>
      <c r="N30" s="17" t="s">
        <v>93</v>
      </c>
      <c r="O30" s="17" t="s">
        <v>93</v>
      </c>
      <c r="P30" s="17" t="s">
        <v>93</v>
      </c>
      <c r="Q30" s="17" t="s">
        <v>93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1</v>
      </c>
      <c r="Z30" s="17">
        <v>80.104665500111906</v>
      </c>
      <c r="AA30" s="16"/>
      <c r="AB30" s="16"/>
      <c r="AC30" s="16"/>
      <c r="AD30" s="16"/>
      <c r="AE30" s="16"/>
      <c r="AF30" s="16"/>
      <c r="AG30" s="16"/>
      <c r="AH30" s="17">
        <v>80.095456707989797</v>
      </c>
      <c r="AI30" s="17">
        <v>80.104665500111906</v>
      </c>
      <c r="AJ30" s="17">
        <v>80.104665500111906</v>
      </c>
      <c r="AK30" s="17">
        <v>80.104665500111906</v>
      </c>
      <c r="AL30" s="17">
        <v>2.1107080392539501E-3</v>
      </c>
      <c r="AM30" s="17">
        <v>90.090938666136907</v>
      </c>
      <c r="AN30" s="16"/>
      <c r="AO30" s="17" t="s">
        <v>93</v>
      </c>
      <c r="AP30" s="17" t="s">
        <v>93</v>
      </c>
      <c r="AQ30" s="17" t="s">
        <v>93</v>
      </c>
      <c r="AR30" s="17" t="s">
        <v>93</v>
      </c>
      <c r="AS30" s="17" t="s">
        <v>93</v>
      </c>
      <c r="AT30" s="17" t="s">
        <v>93</v>
      </c>
      <c r="AU30" s="17" t="s">
        <v>93</v>
      </c>
      <c r="AV30" s="17">
        <v>90.117718165973201</v>
      </c>
      <c r="AW30" s="17">
        <v>90.117718165973201</v>
      </c>
      <c r="AX30" s="17">
        <v>90.117718165973201</v>
      </c>
      <c r="AY30" s="17">
        <v>9.9974267499055696</v>
      </c>
      <c r="AZ30" s="17">
        <v>3.1</v>
      </c>
      <c r="BA30" s="17">
        <v>1</v>
      </c>
      <c r="BB30" s="17" t="s">
        <v>351</v>
      </c>
      <c r="BC30" s="17" t="s">
        <v>61</v>
      </c>
      <c r="BD30" s="16"/>
      <c r="BE30" s="17" t="s">
        <v>62</v>
      </c>
      <c r="BF30" s="17" t="s">
        <v>172</v>
      </c>
      <c r="BG30" s="17" t="s">
        <v>352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22" t="s">
        <v>142</v>
      </c>
      <c r="H31" s="22" t="s">
        <v>67</v>
      </c>
      <c r="I31" s="22" t="s">
        <v>84</v>
      </c>
      <c r="J31" s="22" t="s">
        <v>304</v>
      </c>
      <c r="K31" s="17" t="s">
        <v>319</v>
      </c>
      <c r="L31" s="17" t="s">
        <v>258</v>
      </c>
      <c r="M31" s="17" t="s">
        <v>87</v>
      </c>
      <c r="N31" s="17" t="s">
        <v>88</v>
      </c>
      <c r="O31" s="17" t="s">
        <v>88</v>
      </c>
      <c r="P31" s="17" t="s">
        <v>369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16</v>
      </c>
      <c r="Z31" s="17">
        <v>90.117718165973201</v>
      </c>
      <c r="AA31" s="16"/>
      <c r="AB31" s="16"/>
      <c r="AC31" s="16"/>
      <c r="AD31" s="16"/>
      <c r="AE31" s="16"/>
      <c r="AF31" s="16"/>
      <c r="AG31" s="16"/>
      <c r="AH31" s="17">
        <v>90.093090583104598</v>
      </c>
      <c r="AI31" s="17">
        <v>90.117718165973201</v>
      </c>
      <c r="AJ31" s="17">
        <v>90.117718165973201</v>
      </c>
      <c r="AK31" s="17">
        <v>90.117718165973201</v>
      </c>
      <c r="AL31" s="17">
        <v>-2.5875004939734898E-4</v>
      </c>
      <c r="AM31" s="17">
        <v>94.043308833148302</v>
      </c>
      <c r="AN31" s="17" t="s">
        <v>304</v>
      </c>
      <c r="AO31" s="17" t="s">
        <v>319</v>
      </c>
      <c r="AP31" s="17" t="s">
        <v>258</v>
      </c>
      <c r="AQ31" s="17" t="s">
        <v>87</v>
      </c>
      <c r="AR31" s="17" t="s">
        <v>88</v>
      </c>
      <c r="AS31" s="17" t="s">
        <v>88</v>
      </c>
      <c r="AT31" s="17" t="s">
        <v>369</v>
      </c>
      <c r="AU31" s="17" t="s">
        <v>90</v>
      </c>
      <c r="AV31" s="16"/>
      <c r="AW31" s="16"/>
      <c r="AX31" s="16"/>
      <c r="AY31" s="16"/>
      <c r="AZ31" s="17">
        <v>3.1</v>
      </c>
      <c r="BA31" s="17">
        <v>1</v>
      </c>
      <c r="BB31" s="17" t="s">
        <v>351</v>
      </c>
      <c r="BC31" s="17" t="s">
        <v>61</v>
      </c>
      <c r="BD31" s="16"/>
      <c r="BE31" s="17" t="s">
        <v>62</v>
      </c>
      <c r="BF31" s="17" t="s">
        <v>172</v>
      </c>
      <c r="BG31" s="17" t="s">
        <v>352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83</v>
      </c>
      <c r="H32" s="17" t="s">
        <v>82</v>
      </c>
      <c r="I32" s="17" t="s">
        <v>84</v>
      </c>
      <c r="J32" s="17" t="s">
        <v>82</v>
      </c>
      <c r="K32" s="17" t="s">
        <v>370</v>
      </c>
      <c r="L32" s="17" t="s">
        <v>127</v>
      </c>
      <c r="M32" s="17" t="s">
        <v>87</v>
      </c>
      <c r="N32" s="17" t="s">
        <v>88</v>
      </c>
      <c r="O32" s="17" t="s">
        <v>88</v>
      </c>
      <c r="P32" s="17" t="s">
        <v>371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9</v>
      </c>
      <c r="Z32" s="17">
        <v>94.054447125177802</v>
      </c>
      <c r="AA32" s="16"/>
      <c r="AB32" s="16"/>
      <c r="AC32" s="16"/>
      <c r="AD32" s="16"/>
      <c r="AE32" s="16"/>
      <c r="AF32" s="16"/>
      <c r="AG32" s="16"/>
      <c r="AH32" s="17">
        <v>94.045713208150104</v>
      </c>
      <c r="AI32" s="17">
        <v>94.054447125177802</v>
      </c>
      <c r="AJ32" s="17">
        <v>94.054447125177802</v>
      </c>
      <c r="AK32" s="17">
        <v>94.054447125177802</v>
      </c>
      <c r="AL32" s="17">
        <v>2.29299999773502E-3</v>
      </c>
      <c r="AM32" s="17">
        <v>98.7426660831552</v>
      </c>
      <c r="AN32" s="17" t="s">
        <v>82</v>
      </c>
      <c r="AO32" s="17" t="s">
        <v>370</v>
      </c>
      <c r="AP32" s="17" t="s">
        <v>127</v>
      </c>
      <c r="AQ32" s="17" t="s">
        <v>87</v>
      </c>
      <c r="AR32" s="17" t="s">
        <v>88</v>
      </c>
      <c r="AS32" s="17" t="s">
        <v>88</v>
      </c>
      <c r="AT32" s="17" t="s">
        <v>371</v>
      </c>
      <c r="AU32" s="17" t="s">
        <v>90</v>
      </c>
      <c r="AV32" s="16"/>
      <c r="AW32" s="16"/>
      <c r="AX32" s="16"/>
      <c r="AY32" s="16"/>
      <c r="AZ32" s="17">
        <v>3.1</v>
      </c>
      <c r="BA32" s="17">
        <v>1</v>
      </c>
      <c r="BB32" s="17" t="s">
        <v>351</v>
      </c>
      <c r="BC32" s="17" t="s">
        <v>61</v>
      </c>
      <c r="BD32" s="16"/>
      <c r="BE32" s="17" t="s">
        <v>62</v>
      </c>
      <c r="BF32" s="17" t="s">
        <v>172</v>
      </c>
      <c r="BG32" s="17" t="s">
        <v>352</v>
      </c>
      <c r="BH32" s="16"/>
    </row>
    <row r="33" spans="1:60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17" t="s">
        <v>123</v>
      </c>
      <c r="H33" s="17" t="s">
        <v>78</v>
      </c>
      <c r="I33" s="17" t="s">
        <v>84</v>
      </c>
      <c r="J33" s="17" t="s">
        <v>78</v>
      </c>
      <c r="K33" s="17" t="s">
        <v>372</v>
      </c>
      <c r="L33" s="17" t="s">
        <v>127</v>
      </c>
      <c r="M33" s="17" t="s">
        <v>87</v>
      </c>
      <c r="N33" s="17" t="s">
        <v>88</v>
      </c>
      <c r="O33" s="17" t="s">
        <v>88</v>
      </c>
      <c r="P33" s="17" t="s">
        <v>373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5</v>
      </c>
      <c r="Z33" s="17">
        <v>98.753894708119304</v>
      </c>
      <c r="AA33" s="16"/>
      <c r="AB33" s="16"/>
      <c r="AC33" s="16"/>
      <c r="AD33" s="16"/>
      <c r="AE33" s="16"/>
      <c r="AF33" s="16"/>
      <c r="AG33" s="16"/>
      <c r="AH33" s="17">
        <v>98.744745166041</v>
      </c>
      <c r="AI33" s="17">
        <v>98.753894708119304</v>
      </c>
      <c r="AJ33" s="17">
        <v>98.753894708119304</v>
      </c>
      <c r="AK33" s="17">
        <v>98.753894708119304</v>
      </c>
      <c r="AL33" s="17">
        <v>1.9839580636471501E-3</v>
      </c>
      <c r="AM33" s="17">
        <v>100.842925833073</v>
      </c>
      <c r="AN33" s="17" t="s">
        <v>78</v>
      </c>
      <c r="AO33" s="17" t="s">
        <v>372</v>
      </c>
      <c r="AP33" s="17" t="s">
        <v>127</v>
      </c>
      <c r="AQ33" s="17" t="s">
        <v>87</v>
      </c>
      <c r="AR33" s="17" t="s">
        <v>88</v>
      </c>
      <c r="AS33" s="17" t="s">
        <v>88</v>
      </c>
      <c r="AT33" s="17" t="s">
        <v>373</v>
      </c>
      <c r="AU33" s="17" t="s">
        <v>90</v>
      </c>
      <c r="AV33" s="16"/>
      <c r="AW33" s="16"/>
      <c r="AX33" s="16"/>
      <c r="AY33" s="16"/>
      <c r="AZ33" s="17">
        <v>3.1</v>
      </c>
      <c r="BA33" s="17">
        <v>1</v>
      </c>
      <c r="BB33" s="17" t="s">
        <v>351</v>
      </c>
      <c r="BC33" s="17" t="s">
        <v>61</v>
      </c>
      <c r="BD33" s="16"/>
      <c r="BE33" s="17" t="s">
        <v>62</v>
      </c>
      <c r="BF33" s="17" t="s">
        <v>172</v>
      </c>
      <c r="BG33" s="17" t="s">
        <v>352</v>
      </c>
      <c r="BH33" s="16"/>
    </row>
    <row r="34" spans="1:60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129</v>
      </c>
      <c r="H34" s="17" t="s">
        <v>72</v>
      </c>
      <c r="I34" s="17" t="s">
        <v>84</v>
      </c>
      <c r="J34" s="17" t="s">
        <v>72</v>
      </c>
      <c r="K34" s="17" t="s">
        <v>374</v>
      </c>
      <c r="L34" s="17" t="s">
        <v>86</v>
      </c>
      <c r="M34" s="17" t="s">
        <v>87</v>
      </c>
      <c r="N34" s="17" t="s">
        <v>88</v>
      </c>
      <c r="O34" s="17" t="s">
        <v>88</v>
      </c>
      <c r="P34" s="17" t="s">
        <v>375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0</v>
      </c>
      <c r="Z34" s="17">
        <v>100.853234541137</v>
      </c>
      <c r="AA34" s="16"/>
      <c r="AB34" s="16"/>
      <c r="AC34" s="16"/>
      <c r="AD34" s="16"/>
      <c r="AE34" s="16"/>
      <c r="AF34" s="16"/>
      <c r="AG34" s="16"/>
      <c r="AH34" s="17">
        <v>100.844531000126</v>
      </c>
      <c r="AI34" s="17">
        <v>100.853234541137</v>
      </c>
      <c r="AJ34" s="17">
        <v>100.853234541137</v>
      </c>
      <c r="AK34" s="17">
        <v>100.853234541137</v>
      </c>
      <c r="AL34" s="17">
        <v>1.52383302338421E-3</v>
      </c>
      <c r="AM34" s="17">
        <v>102.709127708105</v>
      </c>
      <c r="AN34" s="17" t="s">
        <v>72</v>
      </c>
      <c r="AO34" s="17" t="s">
        <v>374</v>
      </c>
      <c r="AP34" s="17" t="s">
        <v>86</v>
      </c>
      <c r="AQ34" s="17" t="s">
        <v>87</v>
      </c>
      <c r="AR34" s="17" t="s">
        <v>88</v>
      </c>
      <c r="AS34" s="17" t="s">
        <v>88</v>
      </c>
      <c r="AT34" s="17" t="s">
        <v>375</v>
      </c>
      <c r="AU34" s="17" t="s">
        <v>90</v>
      </c>
      <c r="AV34" s="16"/>
      <c r="AW34" s="16"/>
      <c r="AX34" s="16"/>
      <c r="AY34" s="16"/>
      <c r="AZ34" s="17">
        <v>3.1</v>
      </c>
      <c r="BA34" s="17">
        <v>1</v>
      </c>
      <c r="BB34" s="17" t="s">
        <v>351</v>
      </c>
      <c r="BC34" s="17" t="s">
        <v>61</v>
      </c>
      <c r="BD34" s="16"/>
      <c r="BE34" s="17" t="s">
        <v>62</v>
      </c>
      <c r="BF34" s="17" t="s">
        <v>172</v>
      </c>
      <c r="BG34" s="17" t="s">
        <v>352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17" t="s">
        <v>94</v>
      </c>
      <c r="H35" s="17" t="s">
        <v>95</v>
      </c>
      <c r="I35" s="17" t="s">
        <v>96</v>
      </c>
      <c r="J35" s="17" t="s">
        <v>95</v>
      </c>
      <c r="K35" s="17" t="s">
        <v>376</v>
      </c>
      <c r="L35" s="17" t="s">
        <v>335</v>
      </c>
      <c r="M35" s="17" t="s">
        <v>87</v>
      </c>
      <c r="N35" s="17" t="s">
        <v>88</v>
      </c>
      <c r="O35" s="17" t="s">
        <v>88</v>
      </c>
      <c r="P35" s="17" t="s">
        <v>377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22</v>
      </c>
      <c r="Z35" s="17">
        <v>102.72011145809699</v>
      </c>
      <c r="AA35" s="16"/>
      <c r="AB35" s="16"/>
      <c r="AC35" s="16"/>
      <c r="AD35" s="16"/>
      <c r="AE35" s="16"/>
      <c r="AF35" s="16"/>
      <c r="AG35" s="16"/>
      <c r="AH35" s="17">
        <v>102.711008500075</v>
      </c>
      <c r="AI35" s="17">
        <v>102.72011145809699</v>
      </c>
      <c r="AJ35" s="17">
        <v>102.72011145809699</v>
      </c>
      <c r="AK35" s="17">
        <v>102.72011145809699</v>
      </c>
      <c r="AL35" s="17">
        <v>1.78808299824595E-3</v>
      </c>
      <c r="AM35" s="17">
        <v>109.459393916186</v>
      </c>
      <c r="AN35" s="17" t="s">
        <v>95</v>
      </c>
      <c r="AO35" s="17" t="s">
        <v>376</v>
      </c>
      <c r="AP35" s="17" t="s">
        <v>335</v>
      </c>
      <c r="AQ35" s="17" t="s">
        <v>87</v>
      </c>
      <c r="AR35" s="17" t="s">
        <v>88</v>
      </c>
      <c r="AS35" s="17" t="s">
        <v>88</v>
      </c>
      <c r="AT35" s="17" t="s">
        <v>377</v>
      </c>
      <c r="AU35" s="17" t="s">
        <v>90</v>
      </c>
      <c r="AV35" s="16"/>
      <c r="AW35" s="16"/>
      <c r="AX35" s="16"/>
      <c r="AY35" s="16"/>
      <c r="AZ35" s="17">
        <v>3.1</v>
      </c>
      <c r="BA35" s="17">
        <v>1</v>
      </c>
      <c r="BB35" s="17" t="s">
        <v>351</v>
      </c>
      <c r="BC35" s="17" t="s">
        <v>61</v>
      </c>
      <c r="BD35" s="16"/>
      <c r="BE35" s="17" t="s">
        <v>62</v>
      </c>
      <c r="BF35" s="17" t="s">
        <v>172</v>
      </c>
      <c r="BG35" s="17" t="s">
        <v>352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17" t="s">
        <v>104</v>
      </c>
      <c r="H36" s="17" t="s">
        <v>70</v>
      </c>
      <c r="I36" s="17" t="s">
        <v>84</v>
      </c>
      <c r="J36" s="17" t="s">
        <v>70</v>
      </c>
      <c r="K36" s="17" t="s">
        <v>376</v>
      </c>
      <c r="L36" s="17" t="s">
        <v>320</v>
      </c>
      <c r="M36" s="17" t="s">
        <v>87</v>
      </c>
      <c r="N36" s="17" t="s">
        <v>88</v>
      </c>
      <c r="O36" s="17" t="s">
        <v>88</v>
      </c>
      <c r="P36" s="17" t="s">
        <v>378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2</v>
      </c>
      <c r="Z36" s="17">
        <v>109.471175500192</v>
      </c>
      <c r="AA36" s="16"/>
      <c r="AB36" s="16"/>
      <c r="AC36" s="16"/>
      <c r="AD36" s="16"/>
      <c r="AE36" s="16"/>
      <c r="AF36" s="16"/>
      <c r="AG36" s="16"/>
      <c r="AH36" s="17">
        <v>109.46168487519</v>
      </c>
      <c r="AI36" s="17">
        <v>109.471175500192</v>
      </c>
      <c r="AJ36" s="17">
        <v>109.471175500192</v>
      </c>
      <c r="AK36" s="17">
        <v>109.471175500192</v>
      </c>
      <c r="AL36" s="17">
        <v>2.2000421304255698E-3</v>
      </c>
      <c r="AM36" s="17">
        <v>118.725890416186</v>
      </c>
      <c r="AN36" s="17" t="s">
        <v>70</v>
      </c>
      <c r="AO36" s="17" t="s">
        <v>376</v>
      </c>
      <c r="AP36" s="17" t="s">
        <v>320</v>
      </c>
      <c r="AQ36" s="17" t="s">
        <v>87</v>
      </c>
      <c r="AR36" s="17" t="s">
        <v>88</v>
      </c>
      <c r="AS36" s="17" t="s">
        <v>88</v>
      </c>
      <c r="AT36" s="17" t="s">
        <v>378</v>
      </c>
      <c r="AU36" s="17" t="s">
        <v>90</v>
      </c>
      <c r="AV36" s="16"/>
      <c r="AW36" s="16"/>
      <c r="AX36" s="16"/>
      <c r="AY36" s="16"/>
      <c r="AZ36" s="17">
        <v>3.1</v>
      </c>
      <c r="BA36" s="17">
        <v>1</v>
      </c>
      <c r="BB36" s="17" t="s">
        <v>351</v>
      </c>
      <c r="BC36" s="17" t="s">
        <v>61</v>
      </c>
      <c r="BD36" s="16"/>
      <c r="BE36" s="17" t="s">
        <v>62</v>
      </c>
      <c r="BF36" s="17" t="s">
        <v>172</v>
      </c>
      <c r="BG36" s="17" t="s">
        <v>352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17" t="s">
        <v>100</v>
      </c>
      <c r="H37" s="17" t="s">
        <v>68</v>
      </c>
      <c r="I37" s="17" t="s">
        <v>84</v>
      </c>
      <c r="J37" s="17" t="s">
        <v>68</v>
      </c>
      <c r="K37" s="17" t="s">
        <v>376</v>
      </c>
      <c r="L37" s="17" t="s">
        <v>320</v>
      </c>
      <c r="M37" s="17" t="s">
        <v>87</v>
      </c>
      <c r="N37" s="17" t="s">
        <v>88</v>
      </c>
      <c r="O37" s="17" t="s">
        <v>88</v>
      </c>
      <c r="P37" s="17" t="s">
        <v>379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17</v>
      </c>
      <c r="Z37" s="17">
        <v>118.73744929116199</v>
      </c>
      <c r="AA37" s="16"/>
      <c r="AB37" s="16"/>
      <c r="AC37" s="16"/>
      <c r="AD37" s="16"/>
      <c r="AE37" s="16"/>
      <c r="AF37" s="16"/>
      <c r="AG37" s="16"/>
      <c r="AH37" s="17">
        <v>118.728391333018</v>
      </c>
      <c r="AI37" s="17">
        <v>118.73744929116199</v>
      </c>
      <c r="AJ37" s="17">
        <v>118.73744929116199</v>
      </c>
      <c r="AK37" s="17">
        <v>118.73744929116199</v>
      </c>
      <c r="AL37" s="17">
        <v>2.3984580766409601E-3</v>
      </c>
      <c r="AM37" s="17">
        <v>121.309712750139</v>
      </c>
      <c r="AN37" s="17" t="s">
        <v>68</v>
      </c>
      <c r="AO37" s="17" t="s">
        <v>376</v>
      </c>
      <c r="AP37" s="17" t="s">
        <v>320</v>
      </c>
      <c r="AQ37" s="17" t="s">
        <v>87</v>
      </c>
      <c r="AR37" s="17" t="s">
        <v>88</v>
      </c>
      <c r="AS37" s="17" t="s">
        <v>88</v>
      </c>
      <c r="AT37" s="17" t="s">
        <v>379</v>
      </c>
      <c r="AU37" s="17" t="s">
        <v>90</v>
      </c>
      <c r="AV37" s="16"/>
      <c r="AW37" s="16"/>
      <c r="AX37" s="16"/>
      <c r="AY37" s="16"/>
      <c r="AZ37" s="17">
        <v>3.1</v>
      </c>
      <c r="BA37" s="17">
        <v>1</v>
      </c>
      <c r="BB37" s="17" t="s">
        <v>351</v>
      </c>
      <c r="BC37" s="17" t="s">
        <v>61</v>
      </c>
      <c r="BD37" s="16"/>
      <c r="BE37" s="17" t="s">
        <v>62</v>
      </c>
      <c r="BF37" s="17" t="s">
        <v>172</v>
      </c>
      <c r="BG37" s="17" t="s">
        <v>352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148</v>
      </c>
      <c r="H38" s="22" t="s">
        <v>74</v>
      </c>
      <c r="I38" s="22" t="s">
        <v>84</v>
      </c>
      <c r="J38" s="22" t="s">
        <v>380</v>
      </c>
      <c r="K38" s="17" t="s">
        <v>305</v>
      </c>
      <c r="L38" s="17" t="s">
        <v>214</v>
      </c>
      <c r="M38" s="17" t="s">
        <v>87</v>
      </c>
      <c r="N38" s="17" t="s">
        <v>88</v>
      </c>
      <c r="O38" s="17" t="s">
        <v>88</v>
      </c>
      <c r="P38" s="17" t="s">
        <v>381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13</v>
      </c>
      <c r="Z38" s="17">
        <v>121.32090300018901</v>
      </c>
      <c r="AA38" s="16"/>
      <c r="AB38" s="16"/>
      <c r="AC38" s="16"/>
      <c r="AD38" s="16"/>
      <c r="AE38" s="16"/>
      <c r="AF38" s="16"/>
      <c r="AG38" s="16"/>
      <c r="AH38" s="17">
        <v>121.31182233314</v>
      </c>
      <c r="AI38" s="17">
        <v>121.32090300018901</v>
      </c>
      <c r="AJ38" s="17">
        <v>121.32090300018901</v>
      </c>
      <c r="AK38" s="17">
        <v>121.32090300018901</v>
      </c>
      <c r="AL38" s="17">
        <v>2.0111249759793299E-3</v>
      </c>
      <c r="AM38" s="17">
        <v>128.64252504101</v>
      </c>
      <c r="AN38" s="17" t="s">
        <v>380</v>
      </c>
      <c r="AO38" s="17" t="s">
        <v>305</v>
      </c>
      <c r="AP38" s="17" t="s">
        <v>214</v>
      </c>
      <c r="AQ38" s="17" t="s">
        <v>87</v>
      </c>
      <c r="AR38" s="17" t="s">
        <v>88</v>
      </c>
      <c r="AS38" s="17" t="s">
        <v>88</v>
      </c>
      <c r="AT38" s="17" t="s">
        <v>381</v>
      </c>
      <c r="AU38" s="17" t="s">
        <v>90</v>
      </c>
      <c r="AV38" s="16"/>
      <c r="AW38" s="16"/>
      <c r="AX38" s="16"/>
      <c r="AY38" s="16"/>
      <c r="AZ38" s="17">
        <v>3.1</v>
      </c>
      <c r="BA38" s="17">
        <v>1</v>
      </c>
      <c r="BB38" s="17" t="s">
        <v>351</v>
      </c>
      <c r="BC38" s="17" t="s">
        <v>61</v>
      </c>
      <c r="BD38" s="16"/>
      <c r="BE38" s="17" t="s">
        <v>62</v>
      </c>
      <c r="BF38" s="17" t="s">
        <v>172</v>
      </c>
      <c r="BG38" s="17" t="s">
        <v>352</v>
      </c>
      <c r="BH38" s="16"/>
    </row>
    <row r="39" spans="1:60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17" t="s">
        <v>133</v>
      </c>
      <c r="H39" s="17" t="s">
        <v>64</v>
      </c>
      <c r="I39" s="17" t="s">
        <v>84</v>
      </c>
      <c r="J39" s="17" t="s">
        <v>64</v>
      </c>
      <c r="K39" s="17" t="s">
        <v>382</v>
      </c>
      <c r="L39" s="17" t="s">
        <v>383</v>
      </c>
      <c r="M39" s="17" t="s">
        <v>87</v>
      </c>
      <c r="N39" s="17" t="s">
        <v>88</v>
      </c>
      <c r="O39" s="17" t="s">
        <v>88</v>
      </c>
      <c r="P39" s="17" t="s">
        <v>384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18</v>
      </c>
      <c r="Z39" s="17">
        <v>128.654320666101</v>
      </c>
      <c r="AA39" s="16"/>
      <c r="AB39" s="16"/>
      <c r="AC39" s="16"/>
      <c r="AD39" s="16"/>
      <c r="AE39" s="16"/>
      <c r="AF39" s="16"/>
      <c r="AG39" s="16"/>
      <c r="AH39" s="17">
        <v>128.64485741616201</v>
      </c>
      <c r="AI39" s="17">
        <v>128.654320666101</v>
      </c>
      <c r="AJ39" s="17">
        <v>128.654320666101</v>
      </c>
      <c r="AK39" s="17">
        <v>128.654320666101</v>
      </c>
      <c r="AL39" s="17">
        <v>2.2278749383986001E-3</v>
      </c>
      <c r="AM39" s="17">
        <v>133.19291745801499</v>
      </c>
      <c r="AN39" s="17" t="s">
        <v>64</v>
      </c>
      <c r="AO39" s="17" t="s">
        <v>382</v>
      </c>
      <c r="AP39" s="17" t="s">
        <v>383</v>
      </c>
      <c r="AQ39" s="17" t="s">
        <v>87</v>
      </c>
      <c r="AR39" s="17" t="s">
        <v>88</v>
      </c>
      <c r="AS39" s="17" t="s">
        <v>88</v>
      </c>
      <c r="AT39" s="17" t="s">
        <v>384</v>
      </c>
      <c r="AU39" s="17" t="s">
        <v>90</v>
      </c>
      <c r="AV39" s="16"/>
      <c r="AW39" s="16"/>
      <c r="AX39" s="16"/>
      <c r="AY39" s="16"/>
      <c r="AZ39" s="17">
        <v>3.1</v>
      </c>
      <c r="BA39" s="17">
        <v>1</v>
      </c>
      <c r="BB39" s="17" t="s">
        <v>351</v>
      </c>
      <c r="BC39" s="17" t="s">
        <v>61</v>
      </c>
      <c r="BD39" s="16"/>
      <c r="BE39" s="17" t="s">
        <v>62</v>
      </c>
      <c r="BF39" s="17" t="s">
        <v>172</v>
      </c>
      <c r="BG39" s="17" t="s">
        <v>352</v>
      </c>
      <c r="BH39" s="16"/>
    </row>
    <row r="40" spans="1:60" ht="98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22" t="s">
        <v>138</v>
      </c>
      <c r="H40" s="22" t="s">
        <v>139</v>
      </c>
      <c r="I40" s="22" t="s">
        <v>96</v>
      </c>
      <c r="J40" s="22" t="s">
        <v>140</v>
      </c>
      <c r="K40" s="17" t="s">
        <v>385</v>
      </c>
      <c r="L40" s="17" t="s">
        <v>386</v>
      </c>
      <c r="M40" s="17" t="s">
        <v>110</v>
      </c>
      <c r="N40" s="17" t="s">
        <v>111</v>
      </c>
      <c r="O40" s="17" t="s">
        <v>111</v>
      </c>
      <c r="P40" s="17" t="s">
        <v>387</v>
      </c>
      <c r="Q40" s="17" t="s">
        <v>113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21</v>
      </c>
      <c r="Z40" s="17">
        <v>133.20429666596499</v>
      </c>
      <c r="AA40" s="16"/>
      <c r="AB40" s="16"/>
      <c r="AC40" s="16"/>
      <c r="AD40" s="16"/>
      <c r="AE40" s="16"/>
      <c r="AF40" s="16"/>
      <c r="AG40" s="16"/>
      <c r="AH40" s="17">
        <v>133.194856250193</v>
      </c>
      <c r="AI40" s="17">
        <v>133.20429666596499</v>
      </c>
      <c r="AJ40" s="17">
        <v>133.20429666596499</v>
      </c>
      <c r="AK40" s="17">
        <v>133.20429666596499</v>
      </c>
      <c r="AL40" s="17">
        <v>1.8510420341044699E-3</v>
      </c>
      <c r="AM40" s="17">
        <v>139.12587325018799</v>
      </c>
      <c r="AN40" s="17" t="s">
        <v>140</v>
      </c>
      <c r="AO40" s="17" t="s">
        <v>385</v>
      </c>
      <c r="AP40" s="17" t="s">
        <v>386</v>
      </c>
      <c r="AQ40" s="17" t="s">
        <v>110</v>
      </c>
      <c r="AR40" s="17" t="s">
        <v>111</v>
      </c>
      <c r="AS40" s="17" t="s">
        <v>111</v>
      </c>
      <c r="AT40" s="17" t="s">
        <v>387</v>
      </c>
      <c r="AU40" s="17" t="s">
        <v>113</v>
      </c>
      <c r="AV40" s="16"/>
      <c r="AW40" s="16"/>
      <c r="AX40" s="16"/>
      <c r="AY40" s="16"/>
      <c r="AZ40" s="17">
        <v>3.1</v>
      </c>
      <c r="BA40" s="17">
        <v>1</v>
      </c>
      <c r="BB40" s="17" t="s">
        <v>351</v>
      </c>
      <c r="BC40" s="17" t="s">
        <v>61</v>
      </c>
      <c r="BD40" s="16"/>
      <c r="BE40" s="17" t="s">
        <v>62</v>
      </c>
      <c r="BF40" s="17" t="s">
        <v>172</v>
      </c>
      <c r="BG40" s="17" t="s">
        <v>352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17" t="s">
        <v>169</v>
      </c>
      <c r="H41" s="17" t="s">
        <v>77</v>
      </c>
      <c r="I41" s="17" t="s">
        <v>84</v>
      </c>
      <c r="J41" s="17" t="s">
        <v>77</v>
      </c>
      <c r="K41" s="17" t="s">
        <v>388</v>
      </c>
      <c r="L41" s="17" t="s">
        <v>320</v>
      </c>
      <c r="M41" s="17" t="s">
        <v>87</v>
      </c>
      <c r="N41" s="17" t="s">
        <v>88</v>
      </c>
      <c r="O41" s="17" t="s">
        <v>88</v>
      </c>
      <c r="P41" s="17" t="s">
        <v>389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10</v>
      </c>
      <c r="Z41" s="17">
        <v>139.13752104109199</v>
      </c>
      <c r="AA41" s="16"/>
      <c r="AB41" s="16"/>
      <c r="AC41" s="16"/>
      <c r="AD41" s="16"/>
      <c r="AE41" s="16"/>
      <c r="AF41" s="16"/>
      <c r="AG41" s="16"/>
      <c r="AH41" s="17">
        <v>139.12814791617001</v>
      </c>
      <c r="AI41" s="17">
        <v>139.13752104109199</v>
      </c>
      <c r="AJ41" s="17">
        <v>139.13752104109199</v>
      </c>
      <c r="AK41" s="17">
        <v>139.13752104109199</v>
      </c>
      <c r="AL41" s="17">
        <v>2.16362485662103E-3</v>
      </c>
      <c r="AM41" s="17">
        <v>142.80987125006499</v>
      </c>
      <c r="AN41" s="17" t="s">
        <v>77</v>
      </c>
      <c r="AO41" s="17" t="s">
        <v>388</v>
      </c>
      <c r="AP41" s="17" t="s">
        <v>320</v>
      </c>
      <c r="AQ41" s="17" t="s">
        <v>87</v>
      </c>
      <c r="AR41" s="17" t="s">
        <v>88</v>
      </c>
      <c r="AS41" s="17" t="s">
        <v>88</v>
      </c>
      <c r="AT41" s="17" t="s">
        <v>389</v>
      </c>
      <c r="AU41" s="17" t="s">
        <v>90</v>
      </c>
      <c r="AV41" s="16"/>
      <c r="AW41" s="16"/>
      <c r="AX41" s="16"/>
      <c r="AY41" s="16"/>
      <c r="AZ41" s="17">
        <v>3.1</v>
      </c>
      <c r="BA41" s="17">
        <v>1</v>
      </c>
      <c r="BB41" s="17" t="s">
        <v>351</v>
      </c>
      <c r="BC41" s="17" t="s">
        <v>61</v>
      </c>
      <c r="BD41" s="16"/>
      <c r="BE41" s="17" t="s">
        <v>62</v>
      </c>
      <c r="BF41" s="17" t="s">
        <v>172</v>
      </c>
      <c r="BG41" s="17" t="s">
        <v>352</v>
      </c>
      <c r="BH41" s="16"/>
    </row>
    <row r="42" spans="1:60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17" t="s">
        <v>125</v>
      </c>
      <c r="H42" s="17" t="s">
        <v>65</v>
      </c>
      <c r="I42" s="17" t="s">
        <v>84</v>
      </c>
      <c r="J42" s="17" t="s">
        <v>65</v>
      </c>
      <c r="K42" s="17" t="s">
        <v>161</v>
      </c>
      <c r="L42" s="17" t="s">
        <v>390</v>
      </c>
      <c r="M42" s="17" t="s">
        <v>87</v>
      </c>
      <c r="N42" s="17" t="s">
        <v>88</v>
      </c>
      <c r="O42" s="17" t="s">
        <v>88</v>
      </c>
      <c r="P42" s="17" t="s">
        <v>391</v>
      </c>
      <c r="Q42" s="17" t="s">
        <v>303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11</v>
      </c>
      <c r="Z42" s="17">
        <v>142.821259625023</v>
      </c>
      <c r="AA42" s="16"/>
      <c r="AB42" s="16"/>
      <c r="AC42" s="16"/>
      <c r="AD42" s="16"/>
      <c r="AE42" s="16"/>
      <c r="AF42" s="16"/>
      <c r="AG42" s="16"/>
      <c r="AH42" s="17">
        <v>142.81209658319099</v>
      </c>
      <c r="AI42" s="17">
        <v>142.821259625023</v>
      </c>
      <c r="AJ42" s="17">
        <v>142.821259625023</v>
      </c>
      <c r="AK42" s="17">
        <v>142.821259625023</v>
      </c>
      <c r="AL42" s="17">
        <v>2.1358339581638601E-3</v>
      </c>
      <c r="AM42" s="17">
        <v>152.80768979108001</v>
      </c>
      <c r="AN42" s="17" t="s">
        <v>65</v>
      </c>
      <c r="AO42" s="17" t="s">
        <v>161</v>
      </c>
      <c r="AP42" s="17" t="s">
        <v>390</v>
      </c>
      <c r="AQ42" s="17" t="s">
        <v>87</v>
      </c>
      <c r="AR42" s="17" t="s">
        <v>88</v>
      </c>
      <c r="AS42" s="17" t="s">
        <v>88</v>
      </c>
      <c r="AT42" s="17" t="s">
        <v>391</v>
      </c>
      <c r="AU42" s="17" t="s">
        <v>303</v>
      </c>
      <c r="AV42" s="17">
        <v>152.81983762513801</v>
      </c>
      <c r="AW42" s="17">
        <v>152.81983762513801</v>
      </c>
      <c r="AX42" s="17">
        <v>152.81983762513801</v>
      </c>
      <c r="AY42" s="17">
        <v>9.9974962919950503</v>
      </c>
      <c r="AZ42" s="17">
        <v>3.1</v>
      </c>
      <c r="BA42" s="17">
        <v>1</v>
      </c>
      <c r="BB42" s="17" t="s">
        <v>351</v>
      </c>
      <c r="BC42" s="17" t="s">
        <v>61</v>
      </c>
      <c r="BD42" s="16"/>
      <c r="BE42" s="17" t="s">
        <v>62</v>
      </c>
      <c r="BF42" s="17" t="s">
        <v>172</v>
      </c>
      <c r="BG42" s="17" t="s">
        <v>352</v>
      </c>
      <c r="BH42" s="16"/>
    </row>
    <row r="43" spans="1:60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22" t="s">
        <v>164</v>
      </c>
      <c r="H43" s="22" t="s">
        <v>80</v>
      </c>
      <c r="I43" s="22" t="s">
        <v>84</v>
      </c>
      <c r="J43" s="23"/>
      <c r="K43" s="17" t="s">
        <v>161</v>
      </c>
      <c r="L43" s="17" t="s">
        <v>392</v>
      </c>
      <c r="M43" s="17" t="s">
        <v>87</v>
      </c>
      <c r="N43" s="17" t="s">
        <v>88</v>
      </c>
      <c r="O43" s="17" t="s">
        <v>88</v>
      </c>
      <c r="P43" s="17" t="s">
        <v>393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15</v>
      </c>
      <c r="Z43" s="17">
        <v>152.81983762513801</v>
      </c>
      <c r="AA43" s="16"/>
      <c r="AB43" s="16"/>
      <c r="AC43" s="16"/>
      <c r="AD43" s="16"/>
      <c r="AE43" s="16"/>
      <c r="AF43" s="16"/>
      <c r="AG43" s="16"/>
      <c r="AH43" s="17">
        <v>152.80984925012999</v>
      </c>
      <c r="AI43" s="17">
        <v>152.81983762513801</v>
      </c>
      <c r="AJ43" s="17">
        <v>152.81983762513801</v>
      </c>
      <c r="AK43" s="17">
        <v>152.81983762513801</v>
      </c>
      <c r="AL43" s="17">
        <v>-1.13874906674027E-4</v>
      </c>
      <c r="AM43" s="17">
        <v>152.908120250097</v>
      </c>
      <c r="AN43" s="16"/>
      <c r="AO43" s="17" t="s">
        <v>161</v>
      </c>
      <c r="AP43" s="17" t="s">
        <v>392</v>
      </c>
      <c r="AQ43" s="17" t="s">
        <v>87</v>
      </c>
      <c r="AR43" s="17" t="s">
        <v>88</v>
      </c>
      <c r="AS43" s="17" t="s">
        <v>88</v>
      </c>
      <c r="AT43" s="17" t="s">
        <v>393</v>
      </c>
      <c r="AU43" s="17" t="s">
        <v>90</v>
      </c>
      <c r="AV43" s="16"/>
      <c r="AW43" s="16"/>
      <c r="AX43" s="16"/>
      <c r="AY43" s="16"/>
      <c r="AZ43" s="17">
        <v>3.1</v>
      </c>
      <c r="BA43" s="17">
        <v>1</v>
      </c>
      <c r="BB43" s="17" t="s">
        <v>351</v>
      </c>
      <c r="BC43" s="17" t="s">
        <v>61</v>
      </c>
      <c r="BD43" s="16"/>
      <c r="BE43" s="17" t="s">
        <v>62</v>
      </c>
      <c r="BF43" s="17" t="s">
        <v>172</v>
      </c>
      <c r="BG43" s="17" t="s">
        <v>352</v>
      </c>
      <c r="BH43" s="16"/>
    </row>
    <row r="44" spans="1:60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 t="s">
        <v>118</v>
      </c>
      <c r="H44" s="22" t="s">
        <v>75</v>
      </c>
      <c r="I44" s="22" t="s">
        <v>84</v>
      </c>
      <c r="J44" s="23"/>
      <c r="K44" s="17" t="s">
        <v>93</v>
      </c>
      <c r="L44" s="17" t="s">
        <v>93</v>
      </c>
      <c r="M44" s="17" t="s">
        <v>93</v>
      </c>
      <c r="N44" s="17" t="s">
        <v>93</v>
      </c>
      <c r="O44" s="17" t="s">
        <v>93</v>
      </c>
      <c r="P44" s="17" t="s">
        <v>93</v>
      </c>
      <c r="Q44" s="17" t="s">
        <v>93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7</v>
      </c>
      <c r="Z44" s="17">
        <v>152.916918250034</v>
      </c>
      <c r="AA44" s="16"/>
      <c r="AB44" s="16"/>
      <c r="AC44" s="16"/>
      <c r="AD44" s="16"/>
      <c r="AE44" s="16"/>
      <c r="AF44" s="16"/>
      <c r="AG44" s="16"/>
      <c r="AH44" s="17">
        <v>152.90964483306701</v>
      </c>
      <c r="AI44" s="17">
        <v>152.916918250034</v>
      </c>
      <c r="AJ44" s="17">
        <v>152.916918250034</v>
      </c>
      <c r="AK44" s="17">
        <v>152.916918250034</v>
      </c>
      <c r="AL44" s="17">
        <v>1.45979109220207E-3</v>
      </c>
      <c r="AM44" s="17">
        <v>162.90047658304701</v>
      </c>
      <c r="AN44" s="16"/>
      <c r="AO44" s="17" t="s">
        <v>93</v>
      </c>
      <c r="AP44" s="17" t="s">
        <v>93</v>
      </c>
      <c r="AQ44" s="17" t="s">
        <v>93</v>
      </c>
      <c r="AR44" s="17" t="s">
        <v>93</v>
      </c>
      <c r="AS44" s="17" t="s">
        <v>93</v>
      </c>
      <c r="AT44" s="17" t="s">
        <v>93</v>
      </c>
      <c r="AU44" s="17" t="s">
        <v>93</v>
      </c>
      <c r="AV44" s="17">
        <v>162.90938583319101</v>
      </c>
      <c r="AW44" s="17">
        <v>162.90938583319101</v>
      </c>
      <c r="AX44" s="17">
        <v>162.90938583319101</v>
      </c>
      <c r="AY44" s="17">
        <v>9.9921125001274103</v>
      </c>
      <c r="AZ44" s="17">
        <v>3.1</v>
      </c>
      <c r="BA44" s="17">
        <v>1</v>
      </c>
      <c r="BB44" s="17" t="s">
        <v>351</v>
      </c>
      <c r="BC44" s="17" t="s">
        <v>61</v>
      </c>
      <c r="BD44" s="16"/>
      <c r="BE44" s="17" t="s">
        <v>62</v>
      </c>
      <c r="BF44" s="17" t="s">
        <v>172</v>
      </c>
      <c r="BG44" s="17" t="s">
        <v>352</v>
      </c>
      <c r="BH44" s="16"/>
    </row>
    <row r="45" spans="1:60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22" t="s">
        <v>160</v>
      </c>
      <c r="H45" s="22" t="s">
        <v>79</v>
      </c>
      <c r="I45" s="22" t="s">
        <v>84</v>
      </c>
      <c r="J45" s="23"/>
      <c r="K45" s="17" t="s">
        <v>192</v>
      </c>
      <c r="L45" s="17" t="s">
        <v>335</v>
      </c>
      <c r="M45" s="17" t="s">
        <v>87</v>
      </c>
      <c r="N45" s="17" t="s">
        <v>88</v>
      </c>
      <c r="O45" s="17" t="s">
        <v>88</v>
      </c>
      <c r="P45" s="17" t="s">
        <v>394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3</v>
      </c>
      <c r="Z45" s="17">
        <v>162.90938583319101</v>
      </c>
      <c r="AA45" s="16"/>
      <c r="AB45" s="16"/>
      <c r="AC45" s="16"/>
      <c r="AD45" s="16"/>
      <c r="AE45" s="16"/>
      <c r="AF45" s="16"/>
      <c r="AG45" s="16"/>
      <c r="AH45" s="17">
        <v>162.90221479115999</v>
      </c>
      <c r="AI45" s="17">
        <v>162.90938583319101</v>
      </c>
      <c r="AJ45" s="17">
        <v>162.90938583319101</v>
      </c>
      <c r="AK45" s="17">
        <v>162.90938583319101</v>
      </c>
      <c r="AL45" s="17">
        <v>1.2476660776883401E-3</v>
      </c>
      <c r="AM45" s="17">
        <v>169.441179958172</v>
      </c>
      <c r="AN45" s="16"/>
      <c r="AO45" s="17" t="s">
        <v>192</v>
      </c>
      <c r="AP45" s="17" t="s">
        <v>335</v>
      </c>
      <c r="AQ45" s="17" t="s">
        <v>87</v>
      </c>
      <c r="AR45" s="17" t="s">
        <v>88</v>
      </c>
      <c r="AS45" s="17" t="s">
        <v>88</v>
      </c>
      <c r="AT45" s="17" t="s">
        <v>394</v>
      </c>
      <c r="AU45" s="17" t="s">
        <v>90</v>
      </c>
      <c r="AV45" s="16"/>
      <c r="AW45" s="16"/>
      <c r="AX45" s="16"/>
      <c r="AY45" s="16"/>
      <c r="AZ45" s="17">
        <v>3.1</v>
      </c>
      <c r="BA45" s="17">
        <v>1</v>
      </c>
      <c r="BB45" s="17" t="s">
        <v>351</v>
      </c>
      <c r="BC45" s="17" t="s">
        <v>61</v>
      </c>
      <c r="BD45" s="16"/>
      <c r="BE45" s="17" t="s">
        <v>62</v>
      </c>
      <c r="BF45" s="17" t="s">
        <v>172</v>
      </c>
      <c r="BG45" s="17" t="s">
        <v>352</v>
      </c>
      <c r="BH45" s="16"/>
    </row>
    <row r="46" spans="1:60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22" t="s">
        <v>91</v>
      </c>
      <c r="H46" s="22" t="s">
        <v>71</v>
      </c>
      <c r="I46" s="22" t="s">
        <v>84</v>
      </c>
      <c r="J46" s="23"/>
      <c r="K46" s="17" t="s">
        <v>395</v>
      </c>
      <c r="L46" s="17" t="s">
        <v>320</v>
      </c>
      <c r="M46" s="17" t="s">
        <v>87</v>
      </c>
      <c r="N46" s="17" t="s">
        <v>88</v>
      </c>
      <c r="O46" s="17" t="s">
        <v>88</v>
      </c>
      <c r="P46" s="17" t="s">
        <v>396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19</v>
      </c>
      <c r="Z46" s="17">
        <v>169.44995900010699</v>
      </c>
      <c r="AA46" s="16"/>
      <c r="AB46" s="16"/>
      <c r="AC46" s="16"/>
      <c r="AD46" s="16"/>
      <c r="AE46" s="16"/>
      <c r="AF46" s="16"/>
      <c r="AG46" s="16"/>
      <c r="AH46" s="17">
        <v>169.44284058315699</v>
      </c>
      <c r="AI46" s="17">
        <v>169.44995900010699</v>
      </c>
      <c r="AJ46" s="17">
        <v>169.44995900010699</v>
      </c>
      <c r="AK46" s="17">
        <v>169.44995900010699</v>
      </c>
      <c r="AL46" s="17">
        <v>1.58529193140566E-3</v>
      </c>
      <c r="AM46" s="17">
        <v>178.85799650009699</v>
      </c>
      <c r="AN46" s="16"/>
      <c r="AO46" s="17" t="s">
        <v>395</v>
      </c>
      <c r="AP46" s="17" t="s">
        <v>320</v>
      </c>
      <c r="AQ46" s="17" t="s">
        <v>87</v>
      </c>
      <c r="AR46" s="17" t="s">
        <v>88</v>
      </c>
      <c r="AS46" s="17" t="s">
        <v>88</v>
      </c>
      <c r="AT46" s="17" t="s">
        <v>396</v>
      </c>
      <c r="AU46" s="17" t="s">
        <v>90</v>
      </c>
      <c r="AV46" s="16"/>
      <c r="AW46" s="16"/>
      <c r="AX46" s="16"/>
      <c r="AY46" s="16"/>
      <c r="AZ46" s="17">
        <v>3.1</v>
      </c>
      <c r="BA46" s="17">
        <v>1</v>
      </c>
      <c r="BB46" s="17" t="s">
        <v>351</v>
      </c>
      <c r="BC46" s="17" t="s">
        <v>61</v>
      </c>
      <c r="BD46" s="16"/>
      <c r="BE46" s="17" t="s">
        <v>62</v>
      </c>
      <c r="BF46" s="17" t="s">
        <v>172</v>
      </c>
      <c r="BG46" s="17" t="s">
        <v>352</v>
      </c>
      <c r="BH46" s="16"/>
    </row>
    <row r="48" spans="1:60" ht="14" x14ac:dyDescent="0.15">
      <c r="K48" s="19" t="s">
        <v>630</v>
      </c>
      <c r="L48" s="17" t="s">
        <v>644</v>
      </c>
      <c r="M48">
        <f>11/15</f>
        <v>0.73333333333333328</v>
      </c>
    </row>
    <row r="49" spans="11:13" ht="14" x14ac:dyDescent="0.15">
      <c r="K49" s="19" t="s">
        <v>631</v>
      </c>
      <c r="L49" s="17" t="s">
        <v>633</v>
      </c>
      <c r="M49">
        <f>2/3</f>
        <v>0.66666666666666663</v>
      </c>
    </row>
    <row r="50" spans="11:13" x14ac:dyDescent="0.15">
      <c r="K50" s="1"/>
    </row>
    <row r="51" spans="11:13" x14ac:dyDescent="0.15">
      <c r="K51" s="19" t="s">
        <v>637</v>
      </c>
      <c r="M51">
        <f>M48-M49</f>
        <v>6.6666666666666652E-2</v>
      </c>
    </row>
    <row r="53" spans="11:13" x14ac:dyDescent="0.15">
      <c r="K53" s="19" t="s">
        <v>658</v>
      </c>
      <c r="M53">
        <f>M51-'3'!M51</f>
        <v>-0.14761904761904765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A3A6-4A42-9843-8B8E-A3046D077F76}">
  <dimension ref="A1:BH51"/>
  <sheetViews>
    <sheetView topLeftCell="A41" zoomScale="99" workbookViewId="0">
      <selection activeCell="M51" sqref="M51"/>
    </sheetView>
  </sheetViews>
  <sheetFormatPr baseColWidth="10" defaultRowHeight="13" x14ac:dyDescent="0.15"/>
  <cols>
    <col min="2" max="4" width="11" bestFit="1" customWidth="1"/>
    <col min="5" max="6" width="11.83203125" bestFit="1" customWidth="1"/>
    <col min="11" max="11" width="29" customWidth="1"/>
    <col min="13" max="13" width="11.83203125" bestFit="1" customWidth="1"/>
    <col min="18" max="21" width="11" bestFit="1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47</v>
      </c>
      <c r="AN1" s="15" t="s">
        <v>48</v>
      </c>
      <c r="AO1" s="15" t="s">
        <v>49</v>
      </c>
      <c r="AP1" s="15" t="s">
        <v>50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70</v>
      </c>
      <c r="B2" s="17">
        <v>0</v>
      </c>
      <c r="C2" s="17">
        <v>0</v>
      </c>
      <c r="D2" s="17">
        <v>0</v>
      </c>
      <c r="E2" s="17">
        <v>1.0179856115107899</v>
      </c>
      <c r="F2" s="17">
        <v>1.6221640419680601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2</v>
      </c>
      <c r="V2" s="16"/>
      <c r="W2" s="16"/>
      <c r="X2" s="16"/>
      <c r="Y2" s="16"/>
      <c r="Z2" s="17">
        <v>2.7163374936208101E-2</v>
      </c>
      <c r="AA2" s="16"/>
      <c r="AB2" s="17">
        <v>1.5183541923761401E-2</v>
      </c>
      <c r="AC2" s="17">
        <v>2.7163374936208101E-2</v>
      </c>
      <c r="AD2" s="17">
        <v>2.7163374936208101E-2</v>
      </c>
      <c r="AE2" s="17">
        <v>1.6462822498287999</v>
      </c>
      <c r="AF2" s="17">
        <v>1.0179856115107899</v>
      </c>
      <c r="AG2" s="17">
        <v>1.6221640419680601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>
        <v>4.0999999999999996</v>
      </c>
      <c r="BA2" s="17">
        <v>1</v>
      </c>
      <c r="BB2" s="17" t="s">
        <v>397</v>
      </c>
      <c r="BC2" s="17" t="s">
        <v>61</v>
      </c>
      <c r="BD2" s="16"/>
      <c r="BE2" s="17" t="s">
        <v>62</v>
      </c>
      <c r="BF2" s="17" t="s">
        <v>172</v>
      </c>
      <c r="BG2" s="17" t="s">
        <v>398</v>
      </c>
      <c r="BH2" s="16"/>
    </row>
    <row r="3" spans="1:60" ht="56" x14ac:dyDescent="0.15">
      <c r="A3" s="15" t="s">
        <v>80</v>
      </c>
      <c r="B3" s="17">
        <v>1</v>
      </c>
      <c r="C3" s="17">
        <v>1</v>
      </c>
      <c r="D3" s="17">
        <v>0</v>
      </c>
      <c r="E3" s="17">
        <v>4.0215827338129504</v>
      </c>
      <c r="F3" s="17">
        <v>2.7879828750155902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15</v>
      </c>
      <c r="V3" s="16"/>
      <c r="W3" s="16"/>
      <c r="X3" s="16"/>
      <c r="Y3" s="16"/>
      <c r="Z3" s="17">
        <v>1.6556926670018599</v>
      </c>
      <c r="AA3" s="16"/>
      <c r="AB3" s="17">
        <v>1.64889433397912</v>
      </c>
      <c r="AC3" s="17">
        <v>1.6556926670018599</v>
      </c>
      <c r="AD3" s="17">
        <v>1.6556926670018599</v>
      </c>
      <c r="AE3" s="17">
        <v>4.4461812919471404</v>
      </c>
      <c r="AF3" s="17">
        <v>4.0215827338129504</v>
      </c>
      <c r="AG3" s="17">
        <v>2.7879828750155902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>
        <v>4.0999999999999996</v>
      </c>
      <c r="BA3" s="17">
        <v>1</v>
      </c>
      <c r="BB3" s="17" t="s">
        <v>397</v>
      </c>
      <c r="BC3" s="17" t="s">
        <v>61</v>
      </c>
      <c r="BD3" s="16"/>
      <c r="BE3" s="17" t="s">
        <v>62</v>
      </c>
      <c r="BF3" s="17" t="s">
        <v>172</v>
      </c>
      <c r="BG3" s="17" t="s">
        <v>398</v>
      </c>
      <c r="BH3" s="16"/>
    </row>
    <row r="4" spans="1:60" ht="56" x14ac:dyDescent="0.15">
      <c r="A4" s="15" t="s">
        <v>68</v>
      </c>
      <c r="B4" s="17">
        <v>2</v>
      </c>
      <c r="C4" s="17">
        <v>2</v>
      </c>
      <c r="D4" s="17">
        <v>0</v>
      </c>
      <c r="E4" s="17">
        <v>2.9640287769784202</v>
      </c>
      <c r="F4" s="17">
        <v>1.7044999159406899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17</v>
      </c>
      <c r="V4" s="16"/>
      <c r="W4" s="16"/>
      <c r="X4" s="16"/>
      <c r="Y4" s="16"/>
      <c r="Z4" s="17">
        <v>4.45563587499782</v>
      </c>
      <c r="AA4" s="16"/>
      <c r="AB4" s="17">
        <v>4.4491067919880196</v>
      </c>
      <c r="AC4" s="17">
        <v>4.45563587499782</v>
      </c>
      <c r="AD4" s="17">
        <v>4.45563587499782</v>
      </c>
      <c r="AE4" s="17">
        <v>6.16290720901452</v>
      </c>
      <c r="AF4" s="17">
        <v>2.9640287769784202</v>
      </c>
      <c r="AG4" s="17">
        <v>1.7044999159406899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>
        <v>4.0999999999999996</v>
      </c>
      <c r="BA4" s="17">
        <v>1</v>
      </c>
      <c r="BB4" s="17" t="s">
        <v>397</v>
      </c>
      <c r="BC4" s="17" t="s">
        <v>61</v>
      </c>
      <c r="BD4" s="16"/>
      <c r="BE4" s="17" t="s">
        <v>62</v>
      </c>
      <c r="BF4" s="17" t="s">
        <v>172</v>
      </c>
      <c r="BG4" s="17" t="s">
        <v>398</v>
      </c>
      <c r="BH4" s="16"/>
    </row>
    <row r="5" spans="1:60" ht="56" x14ac:dyDescent="0.15">
      <c r="A5" s="15" t="s">
        <v>66</v>
      </c>
      <c r="B5" s="17">
        <v>3</v>
      </c>
      <c r="C5" s="17">
        <v>3</v>
      </c>
      <c r="D5" s="17">
        <v>0</v>
      </c>
      <c r="E5" s="17">
        <v>1.1258992805755399</v>
      </c>
      <c r="F5" s="17">
        <v>1.2556221669074099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</v>
      </c>
      <c r="V5" s="16"/>
      <c r="W5" s="16"/>
      <c r="X5" s="16"/>
      <c r="Y5" s="16"/>
      <c r="Z5" s="17">
        <v>6.1711416668258599</v>
      </c>
      <c r="AA5" s="16"/>
      <c r="AB5" s="17">
        <v>6.1647015837952504</v>
      </c>
      <c r="AC5" s="17">
        <v>6.1711416668258599</v>
      </c>
      <c r="AD5" s="17">
        <v>6.1711416668258599</v>
      </c>
      <c r="AE5" s="17">
        <v>7.4295210838317898</v>
      </c>
      <c r="AF5" s="17">
        <v>1.1258992805755399</v>
      </c>
      <c r="AG5" s="17">
        <v>1.2556221669074099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>
        <v>4.0999999999999996</v>
      </c>
      <c r="BA5" s="17">
        <v>1</v>
      </c>
      <c r="BB5" s="17" t="s">
        <v>397</v>
      </c>
      <c r="BC5" s="17" t="s">
        <v>61</v>
      </c>
      <c r="BD5" s="16"/>
      <c r="BE5" s="17" t="s">
        <v>62</v>
      </c>
      <c r="BF5" s="17" t="s">
        <v>172</v>
      </c>
      <c r="BG5" s="17" t="s">
        <v>398</v>
      </c>
      <c r="BH5" s="16"/>
    </row>
    <row r="6" spans="1:60" ht="56" x14ac:dyDescent="0.15">
      <c r="A6" s="15" t="s">
        <v>77</v>
      </c>
      <c r="B6" s="17">
        <v>4</v>
      </c>
      <c r="C6" s="17">
        <v>4</v>
      </c>
      <c r="D6" s="17">
        <v>0</v>
      </c>
      <c r="E6" s="17">
        <v>1.1258992805755399</v>
      </c>
      <c r="F6" s="17">
        <v>0.72220604191534199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10</v>
      </c>
      <c r="V6" s="16"/>
      <c r="W6" s="16"/>
      <c r="X6" s="16"/>
      <c r="Y6" s="16"/>
      <c r="Z6" s="17">
        <v>7.4383520418778097</v>
      </c>
      <c r="AA6" s="16"/>
      <c r="AB6" s="17">
        <v>7.4318583339918396</v>
      </c>
      <c r="AC6" s="17">
        <v>7.4383520418778097</v>
      </c>
      <c r="AD6" s="17">
        <v>7.4383520418778097</v>
      </c>
      <c r="AE6" s="17">
        <v>8.1623859589453804</v>
      </c>
      <c r="AF6" s="17">
        <v>1.1258992805755399</v>
      </c>
      <c r="AG6" s="17">
        <v>0.72220604191534199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>
        <v>4.0999999999999996</v>
      </c>
      <c r="BA6" s="17">
        <v>1</v>
      </c>
      <c r="BB6" s="17" t="s">
        <v>397</v>
      </c>
      <c r="BC6" s="17" t="s">
        <v>61</v>
      </c>
      <c r="BD6" s="16"/>
      <c r="BE6" s="17" t="s">
        <v>62</v>
      </c>
      <c r="BF6" s="17" t="s">
        <v>172</v>
      </c>
      <c r="BG6" s="17" t="s">
        <v>398</v>
      </c>
      <c r="BH6" s="16"/>
    </row>
    <row r="7" spans="1:60" ht="56" x14ac:dyDescent="0.15">
      <c r="A7" s="15" t="s">
        <v>76</v>
      </c>
      <c r="B7" s="17">
        <v>5</v>
      </c>
      <c r="C7" s="17">
        <v>5</v>
      </c>
      <c r="D7" s="17">
        <v>0</v>
      </c>
      <c r="E7" s="17">
        <v>1.1258992805755399</v>
      </c>
      <c r="F7" s="17">
        <v>0.505777416983619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6</v>
      </c>
      <c r="V7" s="16"/>
      <c r="W7" s="16"/>
      <c r="X7" s="16"/>
      <c r="Y7" s="16"/>
      <c r="Z7" s="17">
        <v>8.1712668749969506</v>
      </c>
      <c r="AA7" s="16"/>
      <c r="AB7" s="17">
        <v>8.1648473748937302</v>
      </c>
      <c r="AC7" s="17">
        <v>8.1712668749969506</v>
      </c>
      <c r="AD7" s="17">
        <v>8.1712668749969506</v>
      </c>
      <c r="AE7" s="17">
        <v>8.6795929588843101</v>
      </c>
      <c r="AF7" s="17">
        <v>1.1258992805755399</v>
      </c>
      <c r="AG7" s="17">
        <v>0.505777416983619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>
        <v>4.0999999999999996</v>
      </c>
      <c r="BA7" s="17">
        <v>1</v>
      </c>
      <c r="BB7" s="17" t="s">
        <v>397</v>
      </c>
      <c r="BC7" s="17" t="s">
        <v>61</v>
      </c>
      <c r="BD7" s="16"/>
      <c r="BE7" s="17" t="s">
        <v>62</v>
      </c>
      <c r="BF7" s="17" t="s">
        <v>172</v>
      </c>
      <c r="BG7" s="17" t="s">
        <v>398</v>
      </c>
      <c r="BH7" s="16"/>
    </row>
    <row r="8" spans="1:60" ht="56" x14ac:dyDescent="0.15">
      <c r="A8" s="15" t="s">
        <v>64</v>
      </c>
      <c r="B8" s="17">
        <v>6</v>
      </c>
      <c r="C8" s="17">
        <v>6</v>
      </c>
      <c r="D8" s="17">
        <v>0</v>
      </c>
      <c r="E8" s="17">
        <v>5</v>
      </c>
      <c r="F8" s="17">
        <v>1.70488049997948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18</v>
      </c>
      <c r="V8" s="16"/>
      <c r="W8" s="16"/>
      <c r="X8" s="16"/>
      <c r="Y8" s="16"/>
      <c r="Z8" s="17">
        <v>8.6889700838364696</v>
      </c>
      <c r="AA8" s="16"/>
      <c r="AB8" s="17">
        <v>8.6822504168376309</v>
      </c>
      <c r="AC8" s="17">
        <v>8.6889700838364696</v>
      </c>
      <c r="AD8" s="17">
        <v>8.6889700838364696</v>
      </c>
      <c r="AE8" s="17">
        <v>10.3960718750022</v>
      </c>
      <c r="AF8" s="17">
        <v>5</v>
      </c>
      <c r="AG8" s="17">
        <v>1.70488049997948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>
        <v>4.0999999999999996</v>
      </c>
      <c r="BA8" s="17">
        <v>1</v>
      </c>
      <c r="BB8" s="17" t="s">
        <v>397</v>
      </c>
      <c r="BC8" s="17" t="s">
        <v>61</v>
      </c>
      <c r="BD8" s="16"/>
      <c r="BE8" s="17" t="s">
        <v>62</v>
      </c>
      <c r="BF8" s="17" t="s">
        <v>172</v>
      </c>
      <c r="BG8" s="17" t="s">
        <v>398</v>
      </c>
      <c r="BH8" s="16"/>
    </row>
    <row r="9" spans="1:60" ht="56" x14ac:dyDescent="0.15">
      <c r="A9" s="15" t="s">
        <v>72</v>
      </c>
      <c r="B9" s="17">
        <v>7</v>
      </c>
      <c r="C9" s="17">
        <v>7</v>
      </c>
      <c r="D9" s="17">
        <v>0</v>
      </c>
      <c r="E9" s="17">
        <v>1.0971223021582699</v>
      </c>
      <c r="F9" s="17">
        <v>1.10600129119121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0</v>
      </c>
      <c r="V9" s="16"/>
      <c r="W9" s="16"/>
      <c r="X9" s="16"/>
      <c r="Y9" s="16"/>
      <c r="Z9" s="17">
        <v>10.404337291838599</v>
      </c>
      <c r="AA9" s="16"/>
      <c r="AB9" s="17">
        <v>10.397798791993401</v>
      </c>
      <c r="AC9" s="17">
        <v>10.404337291838599</v>
      </c>
      <c r="AD9" s="17">
        <v>10.404337291838599</v>
      </c>
      <c r="AE9" s="17">
        <v>11.512874124804499</v>
      </c>
      <c r="AF9" s="17">
        <v>1.0971223021582699</v>
      </c>
      <c r="AG9" s="17">
        <v>1.10600129119121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>
        <v>4.0999999999999996</v>
      </c>
      <c r="BA9" s="17">
        <v>1</v>
      </c>
      <c r="BB9" s="17" t="s">
        <v>397</v>
      </c>
      <c r="BC9" s="17" t="s">
        <v>61</v>
      </c>
      <c r="BD9" s="16"/>
      <c r="BE9" s="17" t="s">
        <v>62</v>
      </c>
      <c r="BF9" s="17" t="s">
        <v>172</v>
      </c>
      <c r="BG9" s="17" t="s">
        <v>398</v>
      </c>
      <c r="BH9" s="16"/>
    </row>
    <row r="10" spans="1:60" ht="56" x14ac:dyDescent="0.15">
      <c r="A10" s="15" t="s">
        <v>82</v>
      </c>
      <c r="B10" s="17">
        <v>8</v>
      </c>
      <c r="C10" s="17">
        <v>8</v>
      </c>
      <c r="D10" s="17">
        <v>0</v>
      </c>
      <c r="E10" s="17">
        <v>1</v>
      </c>
      <c r="F10" s="17">
        <v>1.13901500008069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9</v>
      </c>
      <c r="V10" s="16"/>
      <c r="W10" s="16"/>
      <c r="X10" s="16"/>
      <c r="Y10" s="16"/>
      <c r="Z10" s="17">
        <v>11.5213474999182</v>
      </c>
      <c r="AA10" s="16"/>
      <c r="AB10" s="17">
        <v>11.5147286248393</v>
      </c>
      <c r="AC10" s="17">
        <v>11.5213474999182</v>
      </c>
      <c r="AD10" s="17">
        <v>11.5213474999182</v>
      </c>
      <c r="AE10" s="17">
        <v>12.6628881669603</v>
      </c>
      <c r="AF10" s="17">
        <v>1</v>
      </c>
      <c r="AG10" s="17">
        <v>1.13901500008069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>
        <v>4.0999999999999996</v>
      </c>
      <c r="BA10" s="17">
        <v>1</v>
      </c>
      <c r="BB10" s="17" t="s">
        <v>397</v>
      </c>
      <c r="BC10" s="17" t="s">
        <v>61</v>
      </c>
      <c r="BD10" s="16"/>
      <c r="BE10" s="17" t="s">
        <v>62</v>
      </c>
      <c r="BF10" s="17" t="s">
        <v>172</v>
      </c>
      <c r="BG10" s="17" t="s">
        <v>398</v>
      </c>
      <c r="BH10" s="16"/>
    </row>
    <row r="11" spans="1:60" ht="56" x14ac:dyDescent="0.15">
      <c r="A11" s="15" t="s">
        <v>81</v>
      </c>
      <c r="B11" s="17">
        <v>9</v>
      </c>
      <c r="C11" s="17">
        <v>9</v>
      </c>
      <c r="D11" s="17">
        <v>0</v>
      </c>
      <c r="E11" s="17">
        <v>1</v>
      </c>
      <c r="F11" s="17">
        <v>0.65525125013664398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4</v>
      </c>
      <c r="V11" s="16"/>
      <c r="W11" s="16"/>
      <c r="X11" s="16"/>
      <c r="Y11" s="16"/>
      <c r="Z11" s="17">
        <v>12.6712391248439</v>
      </c>
      <c r="AA11" s="16"/>
      <c r="AB11" s="17">
        <v>12.664588958956299</v>
      </c>
      <c r="AC11" s="17">
        <v>12.6712391248439</v>
      </c>
      <c r="AD11" s="17">
        <v>12.6712391248439</v>
      </c>
      <c r="AE11" s="17">
        <v>13.3293789587915</v>
      </c>
      <c r="AF11" s="17">
        <v>1</v>
      </c>
      <c r="AG11" s="17">
        <v>0.65525125013664398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>
        <v>4.0999999999999996</v>
      </c>
      <c r="BA11" s="17">
        <v>1</v>
      </c>
      <c r="BB11" s="17" t="s">
        <v>397</v>
      </c>
      <c r="BC11" s="17" t="s">
        <v>61</v>
      </c>
      <c r="BD11" s="16"/>
      <c r="BE11" s="17" t="s">
        <v>62</v>
      </c>
      <c r="BF11" s="17" t="s">
        <v>172</v>
      </c>
      <c r="BG11" s="17" t="s">
        <v>398</v>
      </c>
      <c r="BH11" s="16"/>
    </row>
    <row r="12" spans="1:60" ht="56" x14ac:dyDescent="0.15">
      <c r="A12" s="15" t="s">
        <v>75</v>
      </c>
      <c r="B12" s="17">
        <v>10</v>
      </c>
      <c r="C12" s="17">
        <v>10</v>
      </c>
      <c r="D12" s="17">
        <v>0</v>
      </c>
      <c r="E12" s="17">
        <v>1</v>
      </c>
      <c r="F12" s="17">
        <v>0.65614525019191206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7</v>
      </c>
      <c r="V12" s="16"/>
      <c r="W12" s="16"/>
      <c r="X12" s="16"/>
      <c r="Y12" s="16"/>
      <c r="Z12" s="17">
        <v>13.337371916975799</v>
      </c>
      <c r="AA12" s="16"/>
      <c r="AB12" s="17">
        <v>13.3310148748569</v>
      </c>
      <c r="AC12" s="17">
        <v>13.337371916975799</v>
      </c>
      <c r="AD12" s="17">
        <v>13.337371916975799</v>
      </c>
      <c r="AE12" s="17">
        <v>13.996187458979</v>
      </c>
      <c r="AF12" s="17">
        <v>1</v>
      </c>
      <c r="AG12" s="17">
        <v>0.65614525019191206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>
        <v>4.0999999999999996</v>
      </c>
      <c r="BA12" s="17">
        <v>1</v>
      </c>
      <c r="BB12" s="17" t="s">
        <v>397</v>
      </c>
      <c r="BC12" s="17" t="s">
        <v>61</v>
      </c>
      <c r="BD12" s="16"/>
      <c r="BE12" s="17" t="s">
        <v>62</v>
      </c>
      <c r="BF12" s="17" t="s">
        <v>172</v>
      </c>
      <c r="BG12" s="17" t="s">
        <v>398</v>
      </c>
      <c r="BH12" s="16"/>
    </row>
    <row r="13" spans="1:60" ht="56" x14ac:dyDescent="0.15">
      <c r="A13" s="15" t="s">
        <v>73</v>
      </c>
      <c r="B13" s="17">
        <v>11</v>
      </c>
      <c r="C13" s="17">
        <v>11</v>
      </c>
      <c r="D13" s="17">
        <v>0</v>
      </c>
      <c r="E13" s="17">
        <v>5</v>
      </c>
      <c r="F13" s="17">
        <v>3.1392886668909301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14</v>
      </c>
      <c r="V13" s="16"/>
      <c r="W13" s="16"/>
      <c r="X13" s="16"/>
      <c r="Y13" s="16"/>
      <c r="Z13" s="17">
        <v>14.0046766668092</v>
      </c>
      <c r="AA13" s="16"/>
      <c r="AB13" s="17">
        <v>13.9979272498749</v>
      </c>
      <c r="AC13" s="17">
        <v>14.0046766668092</v>
      </c>
      <c r="AD13" s="17">
        <v>14.0046766668092</v>
      </c>
      <c r="AE13" s="17">
        <v>17.146047916961798</v>
      </c>
      <c r="AF13" s="17">
        <v>5</v>
      </c>
      <c r="AG13" s="17">
        <v>3.1392886668909301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>
        <v>4.0999999999999996</v>
      </c>
      <c r="BA13" s="17">
        <v>1</v>
      </c>
      <c r="BB13" s="17" t="s">
        <v>397</v>
      </c>
      <c r="BC13" s="17" t="s">
        <v>61</v>
      </c>
      <c r="BD13" s="16"/>
      <c r="BE13" s="17" t="s">
        <v>62</v>
      </c>
      <c r="BF13" s="17" t="s">
        <v>172</v>
      </c>
      <c r="BG13" s="17" t="s">
        <v>398</v>
      </c>
      <c r="BH13" s="16"/>
    </row>
    <row r="14" spans="1:60" ht="56" x14ac:dyDescent="0.15">
      <c r="A14" s="15" t="s">
        <v>78</v>
      </c>
      <c r="B14" s="17">
        <v>12</v>
      </c>
      <c r="C14" s="17">
        <v>12</v>
      </c>
      <c r="D14" s="17">
        <v>0</v>
      </c>
      <c r="E14" s="17">
        <v>1</v>
      </c>
      <c r="F14" s="17">
        <v>1.63867841707543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5</v>
      </c>
      <c r="V14" s="16"/>
      <c r="W14" s="16"/>
      <c r="X14" s="16"/>
      <c r="Y14" s="16"/>
      <c r="Z14" s="17">
        <v>17.154625374823802</v>
      </c>
      <c r="AA14" s="16"/>
      <c r="AB14" s="17">
        <v>17.147846124833499</v>
      </c>
      <c r="AC14" s="17">
        <v>17.154625374823802</v>
      </c>
      <c r="AD14" s="17">
        <v>17.154625374823802</v>
      </c>
      <c r="AE14" s="17">
        <v>18.796023208880801</v>
      </c>
      <c r="AF14" s="17">
        <v>1</v>
      </c>
      <c r="AG14" s="17">
        <v>1.63867841707543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>
        <v>4.0999999999999996</v>
      </c>
      <c r="BA14" s="17">
        <v>1</v>
      </c>
      <c r="BB14" s="17" t="s">
        <v>397</v>
      </c>
      <c r="BC14" s="17" t="s">
        <v>61</v>
      </c>
      <c r="BD14" s="16"/>
      <c r="BE14" s="17" t="s">
        <v>62</v>
      </c>
      <c r="BF14" s="17" t="s">
        <v>172</v>
      </c>
      <c r="BG14" s="17" t="s">
        <v>398</v>
      </c>
      <c r="BH14" s="16"/>
    </row>
    <row r="15" spans="1:60" ht="56" x14ac:dyDescent="0.15">
      <c r="A15" s="15" t="s">
        <v>79</v>
      </c>
      <c r="B15" s="17">
        <v>13</v>
      </c>
      <c r="C15" s="17">
        <v>13</v>
      </c>
      <c r="D15" s="17">
        <v>0</v>
      </c>
      <c r="E15" s="17">
        <v>1</v>
      </c>
      <c r="F15" s="17">
        <v>0.68935529096052095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3</v>
      </c>
      <c r="V15" s="16"/>
      <c r="W15" s="16"/>
      <c r="X15" s="16"/>
      <c r="Y15" s="16"/>
      <c r="Z15" s="17">
        <v>18.804715541889902</v>
      </c>
      <c r="AA15" s="16"/>
      <c r="AB15" s="17">
        <v>18.797945166938</v>
      </c>
      <c r="AC15" s="17">
        <v>18.804715541889902</v>
      </c>
      <c r="AD15" s="17">
        <v>18.804715541889902</v>
      </c>
      <c r="AE15" s="17">
        <v>19.496045749867299</v>
      </c>
      <c r="AF15" s="17">
        <v>1</v>
      </c>
      <c r="AG15" s="17">
        <v>0.68935529096052095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>
        <v>4.0999999999999996</v>
      </c>
      <c r="BA15" s="17">
        <v>1</v>
      </c>
      <c r="BB15" s="17" t="s">
        <v>397</v>
      </c>
      <c r="BC15" s="17" t="s">
        <v>61</v>
      </c>
      <c r="BD15" s="16"/>
      <c r="BE15" s="17" t="s">
        <v>62</v>
      </c>
      <c r="BF15" s="17" t="s">
        <v>172</v>
      </c>
      <c r="BG15" s="17" t="s">
        <v>398</v>
      </c>
      <c r="BH15" s="16"/>
    </row>
    <row r="16" spans="1:60" ht="56" x14ac:dyDescent="0.15">
      <c r="A16" s="15" t="s">
        <v>65</v>
      </c>
      <c r="B16" s="17">
        <v>14</v>
      </c>
      <c r="C16" s="17">
        <v>14</v>
      </c>
      <c r="D16" s="17">
        <v>0</v>
      </c>
      <c r="E16" s="17">
        <v>4.9892086330935301</v>
      </c>
      <c r="F16" s="17">
        <v>2.0059845000505399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11</v>
      </c>
      <c r="V16" s="16"/>
      <c r="W16" s="16"/>
      <c r="X16" s="16"/>
      <c r="Y16" s="16"/>
      <c r="Z16" s="17">
        <v>19.504614333854999</v>
      </c>
      <c r="AA16" s="16"/>
      <c r="AB16" s="17">
        <v>19.4978240840137</v>
      </c>
      <c r="AC16" s="17">
        <v>19.504614333854999</v>
      </c>
      <c r="AD16" s="17">
        <v>19.504614333854999</v>
      </c>
      <c r="AE16" s="17">
        <v>21.512849874794501</v>
      </c>
      <c r="AF16" s="17">
        <v>4.9892086330935301</v>
      </c>
      <c r="AG16" s="17">
        <v>2.0059845000505399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>
        <v>4.0999999999999996</v>
      </c>
      <c r="BA16" s="17">
        <v>1</v>
      </c>
      <c r="BB16" s="17" t="s">
        <v>397</v>
      </c>
      <c r="BC16" s="17" t="s">
        <v>61</v>
      </c>
      <c r="BD16" s="16"/>
      <c r="BE16" s="17" t="s">
        <v>62</v>
      </c>
      <c r="BF16" s="17" t="s">
        <v>172</v>
      </c>
      <c r="BG16" s="17" t="s">
        <v>398</v>
      </c>
      <c r="BH16" s="16"/>
    </row>
    <row r="17" spans="1:60" ht="56" x14ac:dyDescent="0.15">
      <c r="A17" s="15" t="s">
        <v>67</v>
      </c>
      <c r="B17" s="17">
        <v>15</v>
      </c>
      <c r="C17" s="17">
        <v>15</v>
      </c>
      <c r="D17" s="17">
        <v>0</v>
      </c>
      <c r="E17" s="17">
        <v>4.0287769784172696</v>
      </c>
      <c r="F17" s="17">
        <v>1.88900933414698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16</v>
      </c>
      <c r="V17" s="16"/>
      <c r="W17" s="16"/>
      <c r="X17" s="16"/>
      <c r="Y17" s="16"/>
      <c r="Z17" s="17">
        <v>21.521444708807401</v>
      </c>
      <c r="AA17" s="16"/>
      <c r="AB17" s="17">
        <v>21.5148510418367</v>
      </c>
      <c r="AC17" s="17">
        <v>21.521444708807401</v>
      </c>
      <c r="AD17" s="17">
        <v>21.521444708807401</v>
      </c>
      <c r="AE17" s="17">
        <v>23.412813792005199</v>
      </c>
      <c r="AF17" s="17">
        <v>4.0287769784172696</v>
      </c>
      <c r="AG17" s="17">
        <v>1.88900933414698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>
        <v>4.0999999999999996</v>
      </c>
      <c r="BA17" s="17">
        <v>1</v>
      </c>
      <c r="BB17" s="17" t="s">
        <v>397</v>
      </c>
      <c r="BC17" s="17" t="s">
        <v>61</v>
      </c>
      <c r="BD17" s="16"/>
      <c r="BE17" s="17" t="s">
        <v>62</v>
      </c>
      <c r="BF17" s="17" t="s">
        <v>172</v>
      </c>
      <c r="BG17" s="17" t="s">
        <v>398</v>
      </c>
      <c r="BH17" s="16"/>
    </row>
    <row r="18" spans="1:60" ht="56" x14ac:dyDescent="0.15">
      <c r="A18" s="15" t="s">
        <v>71</v>
      </c>
      <c r="B18" s="17">
        <v>16</v>
      </c>
      <c r="C18" s="17">
        <v>16</v>
      </c>
      <c r="D18" s="17">
        <v>0</v>
      </c>
      <c r="E18" s="17">
        <v>3.0107913669064699</v>
      </c>
      <c r="F18" s="17">
        <v>1.3882861249148799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19</v>
      </c>
      <c r="V18" s="16"/>
      <c r="W18" s="16"/>
      <c r="X18" s="16"/>
      <c r="Y18" s="16"/>
      <c r="Z18" s="17">
        <v>23.422093833796701</v>
      </c>
      <c r="AA18" s="16"/>
      <c r="AB18" s="17">
        <v>23.4153262919281</v>
      </c>
      <c r="AC18" s="17">
        <v>23.422093833796701</v>
      </c>
      <c r="AD18" s="17">
        <v>23.422093833796701</v>
      </c>
      <c r="AE18" s="17">
        <v>24.812304249964701</v>
      </c>
      <c r="AF18" s="17">
        <v>3.0107913669064699</v>
      </c>
      <c r="AG18" s="17">
        <v>1.3882861249148799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>
        <v>4.0999999999999996</v>
      </c>
      <c r="BA18" s="17">
        <v>1</v>
      </c>
      <c r="BB18" s="17" t="s">
        <v>397</v>
      </c>
      <c r="BC18" s="17" t="s">
        <v>61</v>
      </c>
      <c r="BD18" s="16"/>
      <c r="BE18" s="17" t="s">
        <v>62</v>
      </c>
      <c r="BF18" s="17" t="s">
        <v>172</v>
      </c>
      <c r="BG18" s="17" t="s">
        <v>398</v>
      </c>
      <c r="BH18" s="16"/>
    </row>
    <row r="19" spans="1:60" ht="56" x14ac:dyDescent="0.15">
      <c r="A19" s="15" t="s">
        <v>74</v>
      </c>
      <c r="B19" s="17">
        <v>17</v>
      </c>
      <c r="C19" s="17">
        <v>17</v>
      </c>
      <c r="D19" s="17">
        <v>0</v>
      </c>
      <c r="E19" s="17">
        <v>4.8956834532374103</v>
      </c>
      <c r="F19" s="17">
        <v>1.2227544579654901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13</v>
      </c>
      <c r="V19" s="16"/>
      <c r="W19" s="16"/>
      <c r="X19" s="16"/>
      <c r="Y19" s="16"/>
      <c r="Z19" s="17">
        <v>24.820590208983099</v>
      </c>
      <c r="AA19" s="16"/>
      <c r="AB19" s="17">
        <v>24.8140465419274</v>
      </c>
      <c r="AC19" s="17">
        <v>24.820590208983099</v>
      </c>
      <c r="AD19" s="17">
        <v>24.820590208983099</v>
      </c>
      <c r="AE19" s="17">
        <v>26.0461399590131</v>
      </c>
      <c r="AF19" s="17">
        <v>4.8956834532374103</v>
      </c>
      <c r="AG19" s="17">
        <v>1.2227544579654901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>
        <v>4.0999999999999996</v>
      </c>
      <c r="BA19" s="17">
        <v>1</v>
      </c>
      <c r="BB19" s="17" t="s">
        <v>397</v>
      </c>
      <c r="BC19" s="17" t="s">
        <v>61</v>
      </c>
      <c r="BD19" s="16"/>
      <c r="BE19" s="17" t="s">
        <v>62</v>
      </c>
      <c r="BF19" s="17" t="s">
        <v>172</v>
      </c>
      <c r="BG19" s="17" t="s">
        <v>398</v>
      </c>
      <c r="BH19" s="16"/>
    </row>
    <row r="20" spans="1:60" ht="56" x14ac:dyDescent="0.15">
      <c r="A20" s="15" t="s">
        <v>59</v>
      </c>
      <c r="B20" s="17">
        <v>18</v>
      </c>
      <c r="C20" s="17">
        <v>18</v>
      </c>
      <c r="D20" s="17">
        <v>0</v>
      </c>
      <c r="E20" s="17">
        <v>2.0431654676258999</v>
      </c>
      <c r="F20" s="17">
        <v>1.3392620000522599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12</v>
      </c>
      <c r="V20" s="16"/>
      <c r="W20" s="16"/>
      <c r="X20" s="16"/>
      <c r="Y20" s="16"/>
      <c r="Z20" s="17">
        <v>26.054355333792</v>
      </c>
      <c r="AA20" s="16"/>
      <c r="AB20" s="17">
        <v>26.047845833934801</v>
      </c>
      <c r="AC20" s="17">
        <v>26.054355333792</v>
      </c>
      <c r="AD20" s="17">
        <v>26.054355333792</v>
      </c>
      <c r="AE20" s="17">
        <v>27.396124208811699</v>
      </c>
      <c r="AF20" s="17">
        <v>2.0431654676258999</v>
      </c>
      <c r="AG20" s="17">
        <v>1.3392620000522599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>
        <v>4.0999999999999996</v>
      </c>
      <c r="BA20" s="17">
        <v>1</v>
      </c>
      <c r="BB20" s="17" t="s">
        <v>397</v>
      </c>
      <c r="BC20" s="17" t="s">
        <v>61</v>
      </c>
      <c r="BD20" s="16"/>
      <c r="BE20" s="17" t="s">
        <v>62</v>
      </c>
      <c r="BF20" s="17" t="s">
        <v>172</v>
      </c>
      <c r="BG20" s="17" t="s">
        <v>398</v>
      </c>
      <c r="BH20" s="16"/>
    </row>
    <row r="21" spans="1:60" ht="56" x14ac:dyDescent="0.15">
      <c r="A21" s="15" t="s">
        <v>69</v>
      </c>
      <c r="B21" s="17">
        <v>19</v>
      </c>
      <c r="C21" s="17">
        <v>19</v>
      </c>
      <c r="D21" s="17">
        <v>0</v>
      </c>
      <c r="E21" s="17">
        <v>1</v>
      </c>
      <c r="F21" s="17">
        <v>1.18848862498999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8</v>
      </c>
      <c r="V21" s="16"/>
      <c r="W21" s="16"/>
      <c r="X21" s="16"/>
      <c r="Y21" s="16"/>
      <c r="Z21" s="17">
        <v>27.404194583883498</v>
      </c>
      <c r="AA21" s="16"/>
      <c r="AB21" s="17">
        <v>27.397756374906798</v>
      </c>
      <c r="AC21" s="17">
        <v>27.404194583883498</v>
      </c>
      <c r="AD21" s="17">
        <v>27.404194583883498</v>
      </c>
      <c r="AE21" s="17">
        <v>28.596112083876498</v>
      </c>
      <c r="AF21" s="17">
        <v>1</v>
      </c>
      <c r="AG21" s="17">
        <v>1.18848862498999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>
        <v>4.0999999999999996</v>
      </c>
      <c r="BA21" s="17">
        <v>1</v>
      </c>
      <c r="BB21" s="17" t="s">
        <v>397</v>
      </c>
      <c r="BC21" s="17" t="s">
        <v>61</v>
      </c>
      <c r="BD21" s="16"/>
      <c r="BE21" s="17" t="s">
        <v>62</v>
      </c>
      <c r="BF21" s="17" t="s">
        <v>172</v>
      </c>
      <c r="BG21" s="17" t="s">
        <v>398</v>
      </c>
      <c r="BH21" s="16"/>
    </row>
    <row r="22" spans="1:60" ht="56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17" t="s">
        <v>100</v>
      </c>
      <c r="H22" s="17" t="s">
        <v>68</v>
      </c>
      <c r="I22" s="17" t="s">
        <v>84</v>
      </c>
      <c r="J22" s="17" t="s">
        <v>68</v>
      </c>
      <c r="K22" s="17" t="s">
        <v>399</v>
      </c>
      <c r="L22" s="17" t="s">
        <v>400</v>
      </c>
      <c r="M22" s="17" t="s">
        <v>87</v>
      </c>
      <c r="N22" s="17" t="s">
        <v>88</v>
      </c>
      <c r="O22" s="17" t="s">
        <v>88</v>
      </c>
      <c r="P22" s="17" t="s">
        <v>401</v>
      </c>
      <c r="Q22" s="17" t="s">
        <v>303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17</v>
      </c>
      <c r="Z22" s="17">
        <v>28.610840374836702</v>
      </c>
      <c r="AA22" s="16"/>
      <c r="AB22" s="16"/>
      <c r="AC22" s="16"/>
      <c r="AD22" s="16"/>
      <c r="AE22" s="16"/>
      <c r="AF22" s="16"/>
      <c r="AG22" s="16"/>
      <c r="AH22" s="17">
        <v>28.602975291898499</v>
      </c>
      <c r="AI22" s="17">
        <v>28.610840374836702</v>
      </c>
      <c r="AJ22" s="17">
        <v>28.610840374836702</v>
      </c>
      <c r="AK22" s="17">
        <v>28.610840374836702</v>
      </c>
      <c r="AL22" s="17">
        <v>6.8624578416347504E-3</v>
      </c>
      <c r="AM22" s="17">
        <v>38.608152834000101</v>
      </c>
      <c r="AN22" s="17">
        <v>38.608152834000101</v>
      </c>
      <c r="AO22" s="17">
        <v>38.608152834000101</v>
      </c>
      <c r="AP22" s="17">
        <v>9.9996988750062901</v>
      </c>
      <c r="AQ22" s="17">
        <v>38.595974874915598</v>
      </c>
      <c r="AR22" s="17" t="s">
        <v>68</v>
      </c>
      <c r="AS22" s="17" t="s">
        <v>399</v>
      </c>
      <c r="AT22" s="17" t="s">
        <v>400</v>
      </c>
      <c r="AU22" s="17" t="s">
        <v>87</v>
      </c>
      <c r="AV22" s="17" t="s">
        <v>88</v>
      </c>
      <c r="AW22" s="17" t="s">
        <v>88</v>
      </c>
      <c r="AX22" s="17" t="s">
        <v>401</v>
      </c>
      <c r="AY22" s="17" t="s">
        <v>303</v>
      </c>
      <c r="AZ22" s="17">
        <v>4.0999999999999996</v>
      </c>
      <c r="BA22" s="17">
        <v>1</v>
      </c>
      <c r="BB22" s="17" t="s">
        <v>397</v>
      </c>
      <c r="BC22" s="17" t="s">
        <v>61</v>
      </c>
      <c r="BD22" s="16"/>
      <c r="BE22" s="17" t="s">
        <v>62</v>
      </c>
      <c r="BF22" s="17" t="s">
        <v>172</v>
      </c>
      <c r="BG22" s="17" t="s">
        <v>398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22" t="s">
        <v>164</v>
      </c>
      <c r="H23" s="22" t="s">
        <v>80</v>
      </c>
      <c r="I23" s="22" t="s">
        <v>84</v>
      </c>
      <c r="J23" s="22" t="s">
        <v>402</v>
      </c>
      <c r="K23" s="17" t="s">
        <v>93</v>
      </c>
      <c r="L23" s="17" t="s">
        <v>93</v>
      </c>
      <c r="M23" s="17" t="s">
        <v>93</v>
      </c>
      <c r="N23" s="17" t="s">
        <v>93</v>
      </c>
      <c r="O23" s="17" t="s">
        <v>93</v>
      </c>
      <c r="P23" s="17" t="s">
        <v>93</v>
      </c>
      <c r="Q23" s="17" t="s">
        <v>93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15</v>
      </c>
      <c r="Z23" s="17">
        <v>38.608152834000101</v>
      </c>
      <c r="AA23" s="16"/>
      <c r="AB23" s="16"/>
      <c r="AC23" s="16"/>
      <c r="AD23" s="16"/>
      <c r="AE23" s="16"/>
      <c r="AF23" s="16"/>
      <c r="AG23" s="16"/>
      <c r="AH23" s="17">
        <v>38.598788250004901</v>
      </c>
      <c r="AI23" s="17">
        <v>38.608152834000101</v>
      </c>
      <c r="AJ23" s="17">
        <v>38.608152834000101</v>
      </c>
      <c r="AK23" s="17">
        <v>38.608152834000101</v>
      </c>
      <c r="AL23" s="17">
        <v>2.6854998432099802E-3</v>
      </c>
      <c r="AM23" s="17">
        <v>48.606926708947903</v>
      </c>
      <c r="AN23" s="17">
        <v>48.606926708947903</v>
      </c>
      <c r="AO23" s="17">
        <v>48.606926708947903</v>
      </c>
      <c r="AP23" s="17">
        <v>9.9996397909708303</v>
      </c>
      <c r="AQ23" s="17">
        <v>48.595896083861597</v>
      </c>
      <c r="AR23" s="17" t="s">
        <v>402</v>
      </c>
      <c r="AS23" s="17" t="s">
        <v>93</v>
      </c>
      <c r="AT23" s="17" t="s">
        <v>93</v>
      </c>
      <c r="AU23" s="17" t="s">
        <v>93</v>
      </c>
      <c r="AV23" s="17" t="s">
        <v>93</v>
      </c>
      <c r="AW23" s="17" t="s">
        <v>93</v>
      </c>
      <c r="AX23" s="17" t="s">
        <v>93</v>
      </c>
      <c r="AY23" s="17" t="s">
        <v>93</v>
      </c>
      <c r="AZ23" s="17">
        <v>4.0999999999999996</v>
      </c>
      <c r="BA23" s="17">
        <v>1</v>
      </c>
      <c r="BB23" s="17" t="s">
        <v>397</v>
      </c>
      <c r="BC23" s="17" t="s">
        <v>61</v>
      </c>
      <c r="BD23" s="16"/>
      <c r="BE23" s="17" t="s">
        <v>62</v>
      </c>
      <c r="BF23" s="17" t="s">
        <v>172</v>
      </c>
      <c r="BG23" s="17" t="s">
        <v>398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129</v>
      </c>
      <c r="H24" s="22" t="s">
        <v>72</v>
      </c>
      <c r="I24" s="22" t="s">
        <v>84</v>
      </c>
      <c r="J24" s="22" t="s">
        <v>403</v>
      </c>
      <c r="K24" s="17" t="s">
        <v>404</v>
      </c>
      <c r="L24" s="17" t="s">
        <v>102</v>
      </c>
      <c r="M24" s="17" t="s">
        <v>87</v>
      </c>
      <c r="N24" s="17" t="s">
        <v>88</v>
      </c>
      <c r="O24" s="17" t="s">
        <v>88</v>
      </c>
      <c r="P24" s="17" t="s">
        <v>405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0</v>
      </c>
      <c r="Z24" s="17">
        <v>48.606926708947903</v>
      </c>
      <c r="AA24" s="16"/>
      <c r="AB24" s="16"/>
      <c r="AC24" s="16"/>
      <c r="AD24" s="16"/>
      <c r="AE24" s="16"/>
      <c r="AF24" s="16"/>
      <c r="AG24" s="16"/>
      <c r="AH24" s="17">
        <v>48.597695208853096</v>
      </c>
      <c r="AI24" s="17">
        <v>48.606926708947903</v>
      </c>
      <c r="AJ24" s="17">
        <v>48.606926708947903</v>
      </c>
      <c r="AK24" s="17">
        <v>48.606926708947903</v>
      </c>
      <c r="AL24" s="17">
        <v>1.59254088066518E-3</v>
      </c>
      <c r="AM24" s="16"/>
      <c r="AN24" s="16"/>
      <c r="AO24" s="16"/>
      <c r="AP24" s="16"/>
      <c r="AQ24" s="17">
        <v>57.2381932497956</v>
      </c>
      <c r="AR24" s="17" t="s">
        <v>403</v>
      </c>
      <c r="AS24" s="17" t="s">
        <v>404</v>
      </c>
      <c r="AT24" s="17" t="s">
        <v>102</v>
      </c>
      <c r="AU24" s="17" t="s">
        <v>87</v>
      </c>
      <c r="AV24" s="17" t="s">
        <v>88</v>
      </c>
      <c r="AW24" s="17" t="s">
        <v>88</v>
      </c>
      <c r="AX24" s="17" t="s">
        <v>405</v>
      </c>
      <c r="AY24" s="17" t="s">
        <v>90</v>
      </c>
      <c r="AZ24" s="17">
        <v>4.0999999999999996</v>
      </c>
      <c r="BA24" s="17">
        <v>1</v>
      </c>
      <c r="BB24" s="17" t="s">
        <v>397</v>
      </c>
      <c r="BC24" s="17" t="s">
        <v>61</v>
      </c>
      <c r="BD24" s="16"/>
      <c r="BE24" s="17" t="s">
        <v>62</v>
      </c>
      <c r="BF24" s="17" t="s">
        <v>172</v>
      </c>
      <c r="BG24" s="17" t="s">
        <v>398</v>
      </c>
      <c r="BH24" s="16"/>
    </row>
    <row r="25" spans="1:60" ht="12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17" t="s">
        <v>169</v>
      </c>
      <c r="H25" s="17" t="s">
        <v>77</v>
      </c>
      <c r="I25" s="17" t="s">
        <v>84</v>
      </c>
      <c r="J25" s="17" t="s">
        <v>77</v>
      </c>
      <c r="K25" s="17" t="s">
        <v>406</v>
      </c>
      <c r="L25" s="17" t="s">
        <v>407</v>
      </c>
      <c r="M25" s="17" t="s">
        <v>206</v>
      </c>
      <c r="N25" s="17" t="s">
        <v>207</v>
      </c>
      <c r="O25" s="17" t="s">
        <v>207</v>
      </c>
      <c r="P25" s="17" t="s">
        <v>408</v>
      </c>
      <c r="Q25" s="17" t="s">
        <v>209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10</v>
      </c>
      <c r="Z25" s="17">
        <v>57.249944666866199</v>
      </c>
      <c r="AA25" s="16"/>
      <c r="AB25" s="16"/>
      <c r="AC25" s="16"/>
      <c r="AD25" s="16"/>
      <c r="AE25" s="16"/>
      <c r="AF25" s="16"/>
      <c r="AG25" s="16"/>
      <c r="AH25" s="17">
        <v>57.240691624814602</v>
      </c>
      <c r="AI25" s="17">
        <v>57.249944666866199</v>
      </c>
      <c r="AJ25" s="17">
        <v>57.249944666866199</v>
      </c>
      <c r="AK25" s="17">
        <v>57.249944666866199</v>
      </c>
      <c r="AL25" s="17">
        <v>2.38654087297618E-3</v>
      </c>
      <c r="AM25" s="16"/>
      <c r="AN25" s="16"/>
      <c r="AO25" s="16"/>
      <c r="AP25" s="16"/>
      <c r="AQ25" s="17">
        <v>61.070811958983498</v>
      </c>
      <c r="AR25" s="17" t="s">
        <v>77</v>
      </c>
      <c r="AS25" s="17" t="s">
        <v>406</v>
      </c>
      <c r="AT25" s="17" t="s">
        <v>407</v>
      </c>
      <c r="AU25" s="17" t="s">
        <v>206</v>
      </c>
      <c r="AV25" s="17" t="s">
        <v>207</v>
      </c>
      <c r="AW25" s="17" t="s">
        <v>207</v>
      </c>
      <c r="AX25" s="17" t="s">
        <v>408</v>
      </c>
      <c r="AY25" s="17" t="s">
        <v>209</v>
      </c>
      <c r="AZ25" s="17">
        <v>4.0999999999999996</v>
      </c>
      <c r="BA25" s="17">
        <v>1</v>
      </c>
      <c r="BB25" s="17" t="s">
        <v>397</v>
      </c>
      <c r="BC25" s="17" t="s">
        <v>61</v>
      </c>
      <c r="BD25" s="16"/>
      <c r="BE25" s="17" t="s">
        <v>62</v>
      </c>
      <c r="BF25" s="17" t="s">
        <v>172</v>
      </c>
      <c r="BG25" s="17" t="s">
        <v>398</v>
      </c>
      <c r="BH25" s="16"/>
    </row>
    <row r="26" spans="1:60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22" t="s">
        <v>138</v>
      </c>
      <c r="H26" s="22" t="s">
        <v>139</v>
      </c>
      <c r="I26" s="22" t="s">
        <v>96</v>
      </c>
      <c r="J26" s="22" t="s">
        <v>409</v>
      </c>
      <c r="K26" s="17" t="s">
        <v>410</v>
      </c>
      <c r="L26" s="17" t="s">
        <v>258</v>
      </c>
      <c r="M26" s="17" t="s">
        <v>87</v>
      </c>
      <c r="N26" s="17" t="s">
        <v>88</v>
      </c>
      <c r="O26" s="17" t="s">
        <v>88</v>
      </c>
      <c r="P26" s="17" t="s">
        <v>411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21</v>
      </c>
      <c r="Z26" s="17">
        <v>61.082518874900401</v>
      </c>
      <c r="AA26" s="16"/>
      <c r="AB26" s="16"/>
      <c r="AC26" s="16"/>
      <c r="AD26" s="16"/>
      <c r="AE26" s="16"/>
      <c r="AF26" s="16"/>
      <c r="AG26" s="16"/>
      <c r="AH26" s="17">
        <v>61.073339333990603</v>
      </c>
      <c r="AI26" s="17">
        <v>61.082518874900401</v>
      </c>
      <c r="AJ26" s="17">
        <v>61.082518874900401</v>
      </c>
      <c r="AK26" s="17">
        <v>61.082518874900401</v>
      </c>
      <c r="AL26" s="17">
        <v>2.3919998202472899E-3</v>
      </c>
      <c r="AM26" s="16"/>
      <c r="AN26" s="16"/>
      <c r="AO26" s="16"/>
      <c r="AP26" s="16"/>
      <c r="AQ26" s="17">
        <v>64.720752208959297</v>
      </c>
      <c r="AR26" s="17" t="s">
        <v>409</v>
      </c>
      <c r="AS26" s="17" t="s">
        <v>410</v>
      </c>
      <c r="AT26" s="17" t="s">
        <v>258</v>
      </c>
      <c r="AU26" s="17" t="s">
        <v>87</v>
      </c>
      <c r="AV26" s="17" t="s">
        <v>88</v>
      </c>
      <c r="AW26" s="17" t="s">
        <v>88</v>
      </c>
      <c r="AX26" s="17" t="s">
        <v>411</v>
      </c>
      <c r="AY26" s="17" t="s">
        <v>90</v>
      </c>
      <c r="AZ26" s="17">
        <v>4.0999999999999996</v>
      </c>
      <c r="BA26" s="17">
        <v>1</v>
      </c>
      <c r="BB26" s="17" t="s">
        <v>397</v>
      </c>
      <c r="BC26" s="17" t="s">
        <v>61</v>
      </c>
      <c r="BD26" s="16"/>
      <c r="BE26" s="17" t="s">
        <v>62</v>
      </c>
      <c r="BF26" s="17" t="s">
        <v>172</v>
      </c>
      <c r="BG26" s="17" t="s">
        <v>398</v>
      </c>
      <c r="BH26" s="16"/>
    </row>
    <row r="27" spans="1:60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83</v>
      </c>
      <c r="H27" s="17" t="s">
        <v>82</v>
      </c>
      <c r="I27" s="17" t="s">
        <v>84</v>
      </c>
      <c r="J27" s="17" t="s">
        <v>82</v>
      </c>
      <c r="K27" s="17" t="s">
        <v>410</v>
      </c>
      <c r="L27" s="17" t="s">
        <v>258</v>
      </c>
      <c r="M27" s="17" t="s">
        <v>87</v>
      </c>
      <c r="N27" s="17" t="s">
        <v>88</v>
      </c>
      <c r="O27" s="17" t="s">
        <v>88</v>
      </c>
      <c r="P27" s="17" t="s">
        <v>412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9</v>
      </c>
      <c r="Z27" s="17">
        <v>64.732253749854905</v>
      </c>
      <c r="AA27" s="16"/>
      <c r="AB27" s="16"/>
      <c r="AC27" s="16"/>
      <c r="AD27" s="16"/>
      <c r="AE27" s="16"/>
      <c r="AF27" s="16"/>
      <c r="AG27" s="16"/>
      <c r="AH27" s="17">
        <v>64.722779291914804</v>
      </c>
      <c r="AI27" s="17">
        <v>64.732253749854905</v>
      </c>
      <c r="AJ27" s="17">
        <v>64.732253749854905</v>
      </c>
      <c r="AK27" s="17">
        <v>64.732253749854905</v>
      </c>
      <c r="AL27" s="17">
        <v>1.9303329754620799E-3</v>
      </c>
      <c r="AM27" s="16"/>
      <c r="AN27" s="16"/>
      <c r="AO27" s="16"/>
      <c r="AP27" s="16"/>
      <c r="AQ27" s="17">
        <v>67.588060874957606</v>
      </c>
      <c r="AR27" s="17" t="s">
        <v>82</v>
      </c>
      <c r="AS27" s="17" t="s">
        <v>410</v>
      </c>
      <c r="AT27" s="17" t="s">
        <v>258</v>
      </c>
      <c r="AU27" s="17" t="s">
        <v>87</v>
      </c>
      <c r="AV27" s="17" t="s">
        <v>88</v>
      </c>
      <c r="AW27" s="17" t="s">
        <v>88</v>
      </c>
      <c r="AX27" s="17" t="s">
        <v>412</v>
      </c>
      <c r="AY27" s="17" t="s">
        <v>90</v>
      </c>
      <c r="AZ27" s="17">
        <v>4.0999999999999996</v>
      </c>
      <c r="BA27" s="17">
        <v>1</v>
      </c>
      <c r="BB27" s="17" t="s">
        <v>397</v>
      </c>
      <c r="BC27" s="17" t="s">
        <v>61</v>
      </c>
      <c r="BD27" s="16"/>
      <c r="BE27" s="17" t="s">
        <v>62</v>
      </c>
      <c r="BF27" s="17" t="s">
        <v>172</v>
      </c>
      <c r="BG27" s="17" t="s">
        <v>398</v>
      </c>
      <c r="BH27" s="16"/>
    </row>
    <row r="28" spans="1:60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22" t="s">
        <v>142</v>
      </c>
      <c r="H28" s="22" t="s">
        <v>67</v>
      </c>
      <c r="I28" s="22" t="s">
        <v>84</v>
      </c>
      <c r="J28" s="22" t="s">
        <v>413</v>
      </c>
      <c r="K28" s="17" t="s">
        <v>410</v>
      </c>
      <c r="L28" s="17" t="s">
        <v>258</v>
      </c>
      <c r="M28" s="17" t="s">
        <v>87</v>
      </c>
      <c r="N28" s="17" t="s">
        <v>88</v>
      </c>
      <c r="O28" s="17" t="s">
        <v>88</v>
      </c>
      <c r="P28" s="17" t="s">
        <v>414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16</v>
      </c>
      <c r="Z28" s="17">
        <v>67.599641041830196</v>
      </c>
      <c r="AA28" s="16"/>
      <c r="AB28" s="16"/>
      <c r="AC28" s="16"/>
      <c r="AD28" s="16"/>
      <c r="AE28" s="16"/>
      <c r="AF28" s="16"/>
      <c r="AG28" s="16"/>
      <c r="AH28" s="17">
        <v>67.590473124990197</v>
      </c>
      <c r="AI28" s="17">
        <v>67.599641041830196</v>
      </c>
      <c r="AJ28" s="17">
        <v>67.599641041830196</v>
      </c>
      <c r="AK28" s="17">
        <v>67.599641041830196</v>
      </c>
      <c r="AL28" s="17">
        <v>2.3203750606626298E-3</v>
      </c>
      <c r="AM28" s="16"/>
      <c r="AN28" s="16"/>
      <c r="AO28" s="16"/>
      <c r="AP28" s="16"/>
      <c r="AQ28" s="17">
        <v>70.754569124896094</v>
      </c>
      <c r="AR28" s="17" t="s">
        <v>413</v>
      </c>
      <c r="AS28" s="17" t="s">
        <v>410</v>
      </c>
      <c r="AT28" s="17" t="s">
        <v>258</v>
      </c>
      <c r="AU28" s="17" t="s">
        <v>87</v>
      </c>
      <c r="AV28" s="17" t="s">
        <v>88</v>
      </c>
      <c r="AW28" s="17" t="s">
        <v>88</v>
      </c>
      <c r="AX28" s="17" t="s">
        <v>414</v>
      </c>
      <c r="AY28" s="17" t="s">
        <v>90</v>
      </c>
      <c r="AZ28" s="17">
        <v>4.0999999999999996</v>
      </c>
      <c r="BA28" s="17">
        <v>1</v>
      </c>
      <c r="BB28" s="17" t="s">
        <v>397</v>
      </c>
      <c r="BC28" s="17" t="s">
        <v>61</v>
      </c>
      <c r="BD28" s="16"/>
      <c r="BE28" s="17" t="s">
        <v>62</v>
      </c>
      <c r="BF28" s="17" t="s">
        <v>172</v>
      </c>
      <c r="BG28" s="17" t="s">
        <v>398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17" t="s">
        <v>114</v>
      </c>
      <c r="H29" s="17" t="s">
        <v>73</v>
      </c>
      <c r="I29" s="17" t="s">
        <v>84</v>
      </c>
      <c r="J29" s="17" t="s">
        <v>73</v>
      </c>
      <c r="K29" s="17" t="s">
        <v>410</v>
      </c>
      <c r="L29" s="17" t="s">
        <v>258</v>
      </c>
      <c r="M29" s="17" t="s">
        <v>87</v>
      </c>
      <c r="N29" s="17" t="s">
        <v>88</v>
      </c>
      <c r="O29" s="17" t="s">
        <v>88</v>
      </c>
      <c r="P29" s="17" t="s">
        <v>415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14</v>
      </c>
      <c r="Z29" s="17">
        <v>70.766525708837406</v>
      </c>
      <c r="AA29" s="16"/>
      <c r="AB29" s="16"/>
      <c r="AC29" s="16"/>
      <c r="AD29" s="16"/>
      <c r="AE29" s="16"/>
      <c r="AF29" s="16"/>
      <c r="AG29" s="16"/>
      <c r="AH29" s="17">
        <v>70.756933666998506</v>
      </c>
      <c r="AI29" s="17">
        <v>70.766525708837406</v>
      </c>
      <c r="AJ29" s="17">
        <v>70.766525708837406</v>
      </c>
      <c r="AK29" s="17">
        <v>70.766525708837406</v>
      </c>
      <c r="AL29" s="17">
        <v>2.2545419633388502E-3</v>
      </c>
      <c r="AM29" s="16"/>
      <c r="AN29" s="16"/>
      <c r="AO29" s="16"/>
      <c r="AP29" s="16"/>
      <c r="AQ29" s="17">
        <v>74.471493374789105</v>
      </c>
      <c r="AR29" s="17" t="s">
        <v>73</v>
      </c>
      <c r="AS29" s="17" t="s">
        <v>410</v>
      </c>
      <c r="AT29" s="17" t="s">
        <v>258</v>
      </c>
      <c r="AU29" s="17" t="s">
        <v>87</v>
      </c>
      <c r="AV29" s="17" t="s">
        <v>88</v>
      </c>
      <c r="AW29" s="17" t="s">
        <v>88</v>
      </c>
      <c r="AX29" s="17" t="s">
        <v>415</v>
      </c>
      <c r="AY29" s="17" t="s">
        <v>90</v>
      </c>
      <c r="AZ29" s="17">
        <v>4.0999999999999996</v>
      </c>
      <c r="BA29" s="17">
        <v>1</v>
      </c>
      <c r="BB29" s="17" t="s">
        <v>397</v>
      </c>
      <c r="BC29" s="17" t="s">
        <v>61</v>
      </c>
      <c r="BD29" s="16"/>
      <c r="BE29" s="17" t="s">
        <v>62</v>
      </c>
      <c r="BF29" s="17" t="s">
        <v>172</v>
      </c>
      <c r="BG29" s="17" t="s">
        <v>398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22" t="s">
        <v>152</v>
      </c>
      <c r="H30" s="22" t="s">
        <v>153</v>
      </c>
      <c r="I30" s="22" t="s">
        <v>96</v>
      </c>
      <c r="J30" s="22" t="s">
        <v>416</v>
      </c>
      <c r="K30" s="17" t="s">
        <v>410</v>
      </c>
      <c r="L30" s="17" t="s">
        <v>258</v>
      </c>
      <c r="M30" s="17" t="s">
        <v>87</v>
      </c>
      <c r="N30" s="17" t="s">
        <v>88</v>
      </c>
      <c r="O30" s="17" t="s">
        <v>88</v>
      </c>
      <c r="P30" s="17" t="s">
        <v>417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20</v>
      </c>
      <c r="Z30" s="17">
        <v>74.483146749902502</v>
      </c>
      <c r="AA30" s="16"/>
      <c r="AB30" s="16"/>
      <c r="AC30" s="16"/>
      <c r="AD30" s="16"/>
      <c r="AE30" s="16"/>
      <c r="AF30" s="16"/>
      <c r="AG30" s="16"/>
      <c r="AH30" s="17">
        <v>74.474016416817904</v>
      </c>
      <c r="AI30" s="17">
        <v>74.483146749902502</v>
      </c>
      <c r="AJ30" s="17">
        <v>74.483146749902502</v>
      </c>
      <c r="AK30" s="17">
        <v>74.483146749902502</v>
      </c>
      <c r="AL30" s="17">
        <v>2.4123329203575902E-3</v>
      </c>
      <c r="AM30" s="16"/>
      <c r="AN30" s="16"/>
      <c r="AO30" s="16"/>
      <c r="AP30" s="16"/>
      <c r="AQ30" s="17">
        <v>82.221788999857395</v>
      </c>
      <c r="AR30" s="17" t="s">
        <v>416</v>
      </c>
      <c r="AS30" s="17" t="s">
        <v>410</v>
      </c>
      <c r="AT30" s="17" t="s">
        <v>258</v>
      </c>
      <c r="AU30" s="17" t="s">
        <v>87</v>
      </c>
      <c r="AV30" s="17" t="s">
        <v>88</v>
      </c>
      <c r="AW30" s="17" t="s">
        <v>88</v>
      </c>
      <c r="AX30" s="17" t="s">
        <v>417</v>
      </c>
      <c r="AY30" s="17" t="s">
        <v>90</v>
      </c>
      <c r="AZ30" s="17">
        <v>4.0999999999999996</v>
      </c>
      <c r="BA30" s="17">
        <v>1</v>
      </c>
      <c r="BB30" s="17" t="s">
        <v>397</v>
      </c>
      <c r="BC30" s="17" t="s">
        <v>61</v>
      </c>
      <c r="BD30" s="16"/>
      <c r="BE30" s="17" t="s">
        <v>62</v>
      </c>
      <c r="BF30" s="17" t="s">
        <v>172</v>
      </c>
      <c r="BG30" s="17" t="s">
        <v>398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167</v>
      </c>
      <c r="H31" s="17" t="s">
        <v>59</v>
      </c>
      <c r="I31" s="17" t="s">
        <v>84</v>
      </c>
      <c r="J31" s="17" t="s">
        <v>59</v>
      </c>
      <c r="K31" s="17" t="s">
        <v>410</v>
      </c>
      <c r="L31" s="17" t="s">
        <v>258</v>
      </c>
      <c r="M31" s="17" t="s">
        <v>87</v>
      </c>
      <c r="N31" s="17" t="s">
        <v>88</v>
      </c>
      <c r="O31" s="17" t="s">
        <v>88</v>
      </c>
      <c r="P31" s="17" t="s">
        <v>418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12</v>
      </c>
      <c r="Z31" s="17">
        <v>82.233049792004806</v>
      </c>
      <c r="AA31" s="16"/>
      <c r="AB31" s="16"/>
      <c r="AC31" s="16"/>
      <c r="AD31" s="16"/>
      <c r="AE31" s="16"/>
      <c r="AF31" s="16"/>
      <c r="AG31" s="16"/>
      <c r="AH31" s="17">
        <v>82.224217916838796</v>
      </c>
      <c r="AI31" s="17">
        <v>82.233049792004806</v>
      </c>
      <c r="AJ31" s="17">
        <v>82.233049792004806</v>
      </c>
      <c r="AK31" s="17">
        <v>82.233049792004806</v>
      </c>
      <c r="AL31" s="17">
        <v>2.3276661522686499E-3</v>
      </c>
      <c r="AM31" s="16"/>
      <c r="AN31" s="16"/>
      <c r="AO31" s="16"/>
      <c r="AP31" s="16"/>
      <c r="AQ31" s="17">
        <v>87.321461541811004</v>
      </c>
      <c r="AR31" s="17" t="s">
        <v>59</v>
      </c>
      <c r="AS31" s="17" t="s">
        <v>410</v>
      </c>
      <c r="AT31" s="17" t="s">
        <v>258</v>
      </c>
      <c r="AU31" s="17" t="s">
        <v>87</v>
      </c>
      <c r="AV31" s="17" t="s">
        <v>88</v>
      </c>
      <c r="AW31" s="17" t="s">
        <v>88</v>
      </c>
      <c r="AX31" s="17" t="s">
        <v>418</v>
      </c>
      <c r="AY31" s="17" t="s">
        <v>90</v>
      </c>
      <c r="AZ31" s="17">
        <v>4.0999999999999996</v>
      </c>
      <c r="BA31" s="17">
        <v>1</v>
      </c>
      <c r="BB31" s="17" t="s">
        <v>397</v>
      </c>
      <c r="BC31" s="17" t="s">
        <v>61</v>
      </c>
      <c r="BD31" s="16"/>
      <c r="BE31" s="17" t="s">
        <v>62</v>
      </c>
      <c r="BF31" s="17" t="s">
        <v>172</v>
      </c>
      <c r="BG31" s="17" t="s">
        <v>398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22" t="s">
        <v>106</v>
      </c>
      <c r="H32" s="22" t="s">
        <v>107</v>
      </c>
      <c r="I32" s="22" t="s">
        <v>96</v>
      </c>
      <c r="J32" s="22" t="s">
        <v>419</v>
      </c>
      <c r="K32" s="17" t="s">
        <v>93</v>
      </c>
      <c r="L32" s="17" t="s">
        <v>93</v>
      </c>
      <c r="M32" s="17" t="s">
        <v>93</v>
      </c>
      <c r="N32" s="17" t="s">
        <v>93</v>
      </c>
      <c r="O32" s="17" t="s">
        <v>93</v>
      </c>
      <c r="P32" s="17" t="s">
        <v>93</v>
      </c>
      <c r="Q32" s="17" t="s">
        <v>93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23</v>
      </c>
      <c r="Z32" s="17">
        <v>87.333019458921598</v>
      </c>
      <c r="AA32" s="16"/>
      <c r="AB32" s="16"/>
      <c r="AC32" s="16"/>
      <c r="AD32" s="16"/>
      <c r="AE32" s="16"/>
      <c r="AF32" s="16"/>
      <c r="AG32" s="16"/>
      <c r="AH32" s="17">
        <v>87.323517167009399</v>
      </c>
      <c r="AI32" s="17">
        <v>87.333019458921598</v>
      </c>
      <c r="AJ32" s="17">
        <v>87.333019458921598</v>
      </c>
      <c r="AK32" s="17">
        <v>87.333019458921598</v>
      </c>
      <c r="AL32" s="17">
        <v>1.9630000460892898E-3</v>
      </c>
      <c r="AM32" s="17">
        <v>97.332251458894504</v>
      </c>
      <c r="AN32" s="17">
        <v>97.332251458894504</v>
      </c>
      <c r="AO32" s="17">
        <v>97.332251458894504</v>
      </c>
      <c r="AP32" s="17">
        <v>9.9979602911043894</v>
      </c>
      <c r="AQ32" s="17">
        <v>97.319741374813006</v>
      </c>
      <c r="AR32" s="17" t="s">
        <v>419</v>
      </c>
      <c r="AS32" s="17" t="s">
        <v>93</v>
      </c>
      <c r="AT32" s="17" t="s">
        <v>93</v>
      </c>
      <c r="AU32" s="17" t="s">
        <v>93</v>
      </c>
      <c r="AV32" s="17" t="s">
        <v>93</v>
      </c>
      <c r="AW32" s="17" t="s">
        <v>93</v>
      </c>
      <c r="AX32" s="17" t="s">
        <v>93</v>
      </c>
      <c r="AY32" s="17" t="s">
        <v>93</v>
      </c>
      <c r="AZ32" s="17">
        <v>4.0999999999999996</v>
      </c>
      <c r="BA32" s="17">
        <v>1</v>
      </c>
      <c r="BB32" s="17" t="s">
        <v>397</v>
      </c>
      <c r="BC32" s="17" t="s">
        <v>61</v>
      </c>
      <c r="BD32" s="16"/>
      <c r="BE32" s="17" t="s">
        <v>62</v>
      </c>
      <c r="BF32" s="17" t="s">
        <v>172</v>
      </c>
      <c r="BG32" s="17" t="s">
        <v>398</v>
      </c>
      <c r="BH32" s="16"/>
    </row>
    <row r="33" spans="1:60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22" t="s">
        <v>120</v>
      </c>
      <c r="H33" s="22" t="s">
        <v>121</v>
      </c>
      <c r="I33" s="22" t="s">
        <v>96</v>
      </c>
      <c r="J33" s="22" t="s">
        <v>420</v>
      </c>
      <c r="K33" s="17" t="s">
        <v>93</v>
      </c>
      <c r="L33" s="17" t="s">
        <v>93</v>
      </c>
      <c r="M33" s="17" t="s">
        <v>93</v>
      </c>
      <c r="N33" s="17" t="s">
        <v>93</v>
      </c>
      <c r="O33" s="17" t="s">
        <v>93</v>
      </c>
      <c r="P33" s="17" t="s">
        <v>93</v>
      </c>
      <c r="Q33" s="17" t="s">
        <v>93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24</v>
      </c>
      <c r="Z33" s="17">
        <v>97.332251458894504</v>
      </c>
      <c r="AA33" s="16"/>
      <c r="AB33" s="16"/>
      <c r="AC33" s="16"/>
      <c r="AD33" s="16"/>
      <c r="AE33" s="16"/>
      <c r="AF33" s="16"/>
      <c r="AG33" s="16"/>
      <c r="AH33" s="17">
        <v>97.322471333900495</v>
      </c>
      <c r="AI33" s="17">
        <v>97.332251458894504</v>
      </c>
      <c r="AJ33" s="17">
        <v>97.332251458894504</v>
      </c>
      <c r="AK33" s="17">
        <v>97.332251458894504</v>
      </c>
      <c r="AL33" s="17">
        <v>9.2308316379785505E-4</v>
      </c>
      <c r="AM33" s="17">
        <v>107.33148041693499</v>
      </c>
      <c r="AN33" s="17">
        <v>107.33148041693499</v>
      </c>
      <c r="AO33" s="17">
        <v>107.33148041693499</v>
      </c>
      <c r="AP33" s="17">
        <v>9.9976624581031501</v>
      </c>
      <c r="AQ33" s="17">
        <v>107.31945241685</v>
      </c>
      <c r="AR33" s="17" t="s">
        <v>420</v>
      </c>
      <c r="AS33" s="17" t="s">
        <v>93</v>
      </c>
      <c r="AT33" s="17" t="s">
        <v>93</v>
      </c>
      <c r="AU33" s="17" t="s">
        <v>93</v>
      </c>
      <c r="AV33" s="17" t="s">
        <v>93</v>
      </c>
      <c r="AW33" s="17" t="s">
        <v>93</v>
      </c>
      <c r="AX33" s="17" t="s">
        <v>93</v>
      </c>
      <c r="AY33" s="17" t="s">
        <v>93</v>
      </c>
      <c r="AZ33" s="17">
        <v>4.0999999999999996</v>
      </c>
      <c r="BA33" s="17">
        <v>1</v>
      </c>
      <c r="BB33" s="17" t="s">
        <v>397</v>
      </c>
      <c r="BC33" s="17" t="s">
        <v>61</v>
      </c>
      <c r="BD33" s="16"/>
      <c r="BE33" s="17" t="s">
        <v>62</v>
      </c>
      <c r="BF33" s="17" t="s">
        <v>172</v>
      </c>
      <c r="BG33" s="17" t="s">
        <v>398</v>
      </c>
      <c r="BH33" s="16"/>
    </row>
    <row r="34" spans="1:60" ht="224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157</v>
      </c>
      <c r="H34" s="17" t="s">
        <v>66</v>
      </c>
      <c r="I34" s="17" t="s">
        <v>84</v>
      </c>
      <c r="J34" s="17" t="s">
        <v>66</v>
      </c>
      <c r="K34" s="17" t="s">
        <v>421</v>
      </c>
      <c r="L34" s="17" t="s">
        <v>422</v>
      </c>
      <c r="M34" s="17" t="s">
        <v>423</v>
      </c>
      <c r="N34" s="17" t="s">
        <v>424</v>
      </c>
      <c r="O34" s="17" t="s">
        <v>424</v>
      </c>
      <c r="P34" s="17" t="s">
        <v>425</v>
      </c>
      <c r="Q34" s="17" t="s">
        <v>426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</v>
      </c>
      <c r="Z34" s="17">
        <v>107.33148041693499</v>
      </c>
      <c r="AA34" s="16"/>
      <c r="AB34" s="16"/>
      <c r="AC34" s="16"/>
      <c r="AD34" s="16"/>
      <c r="AE34" s="16"/>
      <c r="AF34" s="16"/>
      <c r="AG34" s="16"/>
      <c r="AH34" s="17">
        <v>107.322051083902</v>
      </c>
      <c r="AI34" s="17">
        <v>107.33148041693499</v>
      </c>
      <c r="AJ34" s="17">
        <v>107.33148041693499</v>
      </c>
      <c r="AK34" s="17">
        <v>107.33148041693499</v>
      </c>
      <c r="AL34" s="17">
        <v>5.0200009718537298E-4</v>
      </c>
      <c r="AM34" s="16"/>
      <c r="AN34" s="16"/>
      <c r="AO34" s="16"/>
      <c r="AP34" s="16"/>
      <c r="AQ34" s="17">
        <v>113.171465166844</v>
      </c>
      <c r="AR34" s="17" t="s">
        <v>66</v>
      </c>
      <c r="AS34" s="17" t="s">
        <v>421</v>
      </c>
      <c r="AT34" s="17" t="s">
        <v>422</v>
      </c>
      <c r="AU34" s="17" t="s">
        <v>423</v>
      </c>
      <c r="AV34" s="17" t="s">
        <v>424</v>
      </c>
      <c r="AW34" s="17" t="s">
        <v>424</v>
      </c>
      <c r="AX34" s="17" t="s">
        <v>425</v>
      </c>
      <c r="AY34" s="17" t="s">
        <v>426</v>
      </c>
      <c r="AZ34" s="17">
        <v>4.0999999999999996</v>
      </c>
      <c r="BA34" s="17">
        <v>1</v>
      </c>
      <c r="BB34" s="17" t="s">
        <v>397</v>
      </c>
      <c r="BC34" s="17" t="s">
        <v>61</v>
      </c>
      <c r="BD34" s="16"/>
      <c r="BE34" s="17" t="s">
        <v>62</v>
      </c>
      <c r="BF34" s="17" t="s">
        <v>172</v>
      </c>
      <c r="BG34" s="17" t="s">
        <v>398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17" t="s">
        <v>118</v>
      </c>
      <c r="H35" s="17" t="s">
        <v>75</v>
      </c>
      <c r="I35" s="17" t="s">
        <v>84</v>
      </c>
      <c r="J35" s="17" t="s">
        <v>75</v>
      </c>
      <c r="K35" s="17" t="s">
        <v>427</v>
      </c>
      <c r="L35" s="17" t="s">
        <v>428</v>
      </c>
      <c r="M35" s="17" t="s">
        <v>87</v>
      </c>
      <c r="N35" s="17" t="s">
        <v>88</v>
      </c>
      <c r="O35" s="17" t="s">
        <v>88</v>
      </c>
      <c r="P35" s="17" t="s">
        <v>429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7</v>
      </c>
      <c r="Z35" s="17">
        <v>113.181643708842</v>
      </c>
      <c r="AA35" s="16"/>
      <c r="AB35" s="16"/>
      <c r="AC35" s="16"/>
      <c r="AD35" s="16"/>
      <c r="AE35" s="16"/>
      <c r="AF35" s="16"/>
      <c r="AG35" s="16"/>
      <c r="AH35" s="17">
        <v>113.173477374949</v>
      </c>
      <c r="AI35" s="17">
        <v>113.181643708842</v>
      </c>
      <c r="AJ35" s="17">
        <v>113.181643708842</v>
      </c>
      <c r="AK35" s="17">
        <v>113.181643708842</v>
      </c>
      <c r="AL35" s="17">
        <v>1.8820841796696199E-3</v>
      </c>
      <c r="AM35" s="16"/>
      <c r="AN35" s="16"/>
      <c r="AO35" s="16"/>
      <c r="AP35" s="16"/>
      <c r="AQ35" s="17">
        <v>118.63840966695</v>
      </c>
      <c r="AR35" s="17" t="s">
        <v>75</v>
      </c>
      <c r="AS35" s="17" t="s">
        <v>427</v>
      </c>
      <c r="AT35" s="17" t="s">
        <v>428</v>
      </c>
      <c r="AU35" s="17" t="s">
        <v>87</v>
      </c>
      <c r="AV35" s="17" t="s">
        <v>88</v>
      </c>
      <c r="AW35" s="17" t="s">
        <v>88</v>
      </c>
      <c r="AX35" s="17" t="s">
        <v>429</v>
      </c>
      <c r="AY35" s="17" t="s">
        <v>90</v>
      </c>
      <c r="AZ35" s="17">
        <v>4.0999999999999996</v>
      </c>
      <c r="BA35" s="17">
        <v>1</v>
      </c>
      <c r="BB35" s="17" t="s">
        <v>397</v>
      </c>
      <c r="BC35" s="17" t="s">
        <v>61</v>
      </c>
      <c r="BD35" s="16"/>
      <c r="BE35" s="17" t="s">
        <v>62</v>
      </c>
      <c r="BF35" s="17" t="s">
        <v>172</v>
      </c>
      <c r="BG35" s="17" t="s">
        <v>398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22" t="s">
        <v>125</v>
      </c>
      <c r="H36" s="22" t="s">
        <v>65</v>
      </c>
      <c r="I36" s="22" t="s">
        <v>84</v>
      </c>
      <c r="J36" s="22" t="s">
        <v>430</v>
      </c>
      <c r="K36" s="17" t="s">
        <v>93</v>
      </c>
      <c r="L36" s="17" t="s">
        <v>93</v>
      </c>
      <c r="M36" s="17" t="s">
        <v>93</v>
      </c>
      <c r="N36" s="17" t="s">
        <v>93</v>
      </c>
      <c r="O36" s="17" t="s">
        <v>93</v>
      </c>
      <c r="P36" s="17" t="s">
        <v>93</v>
      </c>
      <c r="Q36" s="17" t="s">
        <v>93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11</v>
      </c>
      <c r="Z36" s="17">
        <v>118.64930879185</v>
      </c>
      <c r="AA36" s="16"/>
      <c r="AB36" s="16"/>
      <c r="AC36" s="16"/>
      <c r="AD36" s="16"/>
      <c r="AE36" s="16"/>
      <c r="AF36" s="16"/>
      <c r="AG36" s="16"/>
      <c r="AH36" s="17">
        <v>118.64080512500399</v>
      </c>
      <c r="AI36" s="17">
        <v>118.64930879185</v>
      </c>
      <c r="AJ36" s="17">
        <v>118.64930879185</v>
      </c>
      <c r="AK36" s="17">
        <v>118.64930879185</v>
      </c>
      <c r="AL36" s="17">
        <v>2.3033751640468801E-3</v>
      </c>
      <c r="AM36" s="17">
        <v>128.64865645882699</v>
      </c>
      <c r="AN36" s="17">
        <v>128.64865645882699</v>
      </c>
      <c r="AO36" s="17">
        <v>128.64865645882699</v>
      </c>
      <c r="AP36" s="17">
        <v>9.9977404160890693</v>
      </c>
      <c r="AQ36" s="17">
        <v>128.636466583936</v>
      </c>
      <c r="AR36" s="17" t="s">
        <v>430</v>
      </c>
      <c r="AS36" s="17" t="s">
        <v>93</v>
      </c>
      <c r="AT36" s="17" t="s">
        <v>93</v>
      </c>
      <c r="AU36" s="17" t="s">
        <v>93</v>
      </c>
      <c r="AV36" s="17" t="s">
        <v>93</v>
      </c>
      <c r="AW36" s="17" t="s">
        <v>93</v>
      </c>
      <c r="AX36" s="17" t="s">
        <v>93</v>
      </c>
      <c r="AY36" s="17" t="s">
        <v>93</v>
      </c>
      <c r="AZ36" s="17">
        <v>4.0999999999999996</v>
      </c>
      <c r="BA36" s="17">
        <v>1</v>
      </c>
      <c r="BB36" s="17" t="s">
        <v>397</v>
      </c>
      <c r="BC36" s="17" t="s">
        <v>61</v>
      </c>
      <c r="BD36" s="16"/>
      <c r="BE36" s="17" t="s">
        <v>62</v>
      </c>
      <c r="BF36" s="17" t="s">
        <v>172</v>
      </c>
      <c r="BG36" s="17" t="s">
        <v>398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22" t="s">
        <v>160</v>
      </c>
      <c r="H37" s="22" t="s">
        <v>79</v>
      </c>
      <c r="I37" s="22" t="s">
        <v>84</v>
      </c>
      <c r="J37" s="23"/>
      <c r="K37" s="17" t="s">
        <v>93</v>
      </c>
      <c r="L37" s="17" t="s">
        <v>93</v>
      </c>
      <c r="M37" s="17" t="s">
        <v>93</v>
      </c>
      <c r="N37" s="17" t="s">
        <v>93</v>
      </c>
      <c r="O37" s="17" t="s">
        <v>93</v>
      </c>
      <c r="P37" s="17" t="s">
        <v>93</v>
      </c>
      <c r="Q37" s="17" t="s">
        <v>93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3</v>
      </c>
      <c r="Z37" s="17">
        <v>128.64865645882699</v>
      </c>
      <c r="AA37" s="16"/>
      <c r="AB37" s="16"/>
      <c r="AC37" s="16"/>
      <c r="AD37" s="16"/>
      <c r="AE37" s="16"/>
      <c r="AF37" s="16"/>
      <c r="AG37" s="16"/>
      <c r="AH37" s="17">
        <v>128.63870479189799</v>
      </c>
      <c r="AI37" s="17">
        <v>128.64865645882699</v>
      </c>
      <c r="AJ37" s="17">
        <v>128.64865645882699</v>
      </c>
      <c r="AK37" s="17">
        <v>128.64865645882699</v>
      </c>
      <c r="AL37" s="17">
        <v>2.0362506620585899E-4</v>
      </c>
      <c r="AM37" s="17">
        <v>138.64525816682701</v>
      </c>
      <c r="AN37" s="17">
        <v>138.64525816682701</v>
      </c>
      <c r="AO37" s="17">
        <v>138.64525816682701</v>
      </c>
      <c r="AP37" s="17">
        <v>9.9973327501211298</v>
      </c>
      <c r="AQ37" s="17">
        <v>138.63601312483701</v>
      </c>
      <c r="AR37" s="16"/>
      <c r="AS37" s="17" t="s">
        <v>93</v>
      </c>
      <c r="AT37" s="17" t="s">
        <v>93</v>
      </c>
      <c r="AU37" s="17" t="s">
        <v>93</v>
      </c>
      <c r="AV37" s="17" t="s">
        <v>93</v>
      </c>
      <c r="AW37" s="17" t="s">
        <v>93</v>
      </c>
      <c r="AX37" s="17" t="s">
        <v>93</v>
      </c>
      <c r="AY37" s="17" t="s">
        <v>93</v>
      </c>
      <c r="AZ37" s="17">
        <v>4.0999999999999996</v>
      </c>
      <c r="BA37" s="17">
        <v>1</v>
      </c>
      <c r="BB37" s="17" t="s">
        <v>397</v>
      </c>
      <c r="BC37" s="17" t="s">
        <v>61</v>
      </c>
      <c r="BD37" s="16"/>
      <c r="BE37" s="17" t="s">
        <v>62</v>
      </c>
      <c r="BF37" s="17" t="s">
        <v>172</v>
      </c>
      <c r="BG37" s="17" t="s">
        <v>398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136</v>
      </c>
      <c r="H38" s="22" t="s">
        <v>69</v>
      </c>
      <c r="I38" s="22" t="s">
        <v>84</v>
      </c>
      <c r="J38" s="22" t="s">
        <v>431</v>
      </c>
      <c r="K38" s="17" t="s">
        <v>93</v>
      </c>
      <c r="L38" s="17" t="s">
        <v>93</v>
      </c>
      <c r="M38" s="17" t="s">
        <v>93</v>
      </c>
      <c r="N38" s="17" t="s">
        <v>93</v>
      </c>
      <c r="O38" s="17" t="s">
        <v>93</v>
      </c>
      <c r="P38" s="17" t="s">
        <v>93</v>
      </c>
      <c r="Q38" s="17" t="s">
        <v>93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8</v>
      </c>
      <c r="Z38" s="17">
        <v>138.64525816682701</v>
      </c>
      <c r="AA38" s="16"/>
      <c r="AB38" s="16"/>
      <c r="AC38" s="16"/>
      <c r="AD38" s="16"/>
      <c r="AE38" s="16"/>
      <c r="AF38" s="16"/>
      <c r="AG38" s="16"/>
      <c r="AH38" s="17">
        <v>138.63789987494201</v>
      </c>
      <c r="AI38" s="17">
        <v>138.64525816682701</v>
      </c>
      <c r="AJ38" s="17">
        <v>138.64525816682701</v>
      </c>
      <c r="AK38" s="17">
        <v>138.64525816682701</v>
      </c>
      <c r="AL38" s="17">
        <v>-6.0854200273752202E-4</v>
      </c>
      <c r="AM38" s="17">
        <v>148.63990329182701</v>
      </c>
      <c r="AN38" s="17">
        <v>148.63990329182701</v>
      </c>
      <c r="AO38" s="17">
        <v>148.63990329182701</v>
      </c>
      <c r="AP38" s="17">
        <v>9.9901704580988699</v>
      </c>
      <c r="AQ38" s="17">
        <v>148.62888516695199</v>
      </c>
      <c r="AR38" s="17" t="s">
        <v>431</v>
      </c>
      <c r="AS38" s="17" t="s">
        <v>93</v>
      </c>
      <c r="AT38" s="17" t="s">
        <v>93</v>
      </c>
      <c r="AU38" s="17" t="s">
        <v>93</v>
      </c>
      <c r="AV38" s="17" t="s">
        <v>93</v>
      </c>
      <c r="AW38" s="17" t="s">
        <v>93</v>
      </c>
      <c r="AX38" s="17" t="s">
        <v>93</v>
      </c>
      <c r="AY38" s="17" t="s">
        <v>93</v>
      </c>
      <c r="AZ38" s="17">
        <v>4.0999999999999996</v>
      </c>
      <c r="BA38" s="17">
        <v>1</v>
      </c>
      <c r="BB38" s="17" t="s">
        <v>397</v>
      </c>
      <c r="BC38" s="17" t="s">
        <v>61</v>
      </c>
      <c r="BD38" s="16"/>
      <c r="BE38" s="17" t="s">
        <v>62</v>
      </c>
      <c r="BF38" s="17" t="s">
        <v>172</v>
      </c>
      <c r="BG38" s="17" t="s">
        <v>398</v>
      </c>
      <c r="BH38" s="16"/>
    </row>
    <row r="39" spans="1:60" ht="84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144</v>
      </c>
      <c r="H39" s="22" t="s">
        <v>81</v>
      </c>
      <c r="I39" s="22" t="s">
        <v>84</v>
      </c>
      <c r="J39" s="22" t="s">
        <v>196</v>
      </c>
      <c r="K39" s="17" t="s">
        <v>432</v>
      </c>
      <c r="L39" s="17" t="s">
        <v>433</v>
      </c>
      <c r="M39" s="17" t="s">
        <v>110</v>
      </c>
      <c r="N39" s="17" t="s">
        <v>111</v>
      </c>
      <c r="O39" s="17" t="s">
        <v>111</v>
      </c>
      <c r="P39" s="17" t="s">
        <v>434</v>
      </c>
      <c r="Q39" s="17" t="s">
        <v>113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4</v>
      </c>
      <c r="Z39" s="17">
        <v>148.63990329182701</v>
      </c>
      <c r="AA39" s="16"/>
      <c r="AB39" s="16"/>
      <c r="AC39" s="16"/>
      <c r="AD39" s="16"/>
      <c r="AE39" s="16"/>
      <c r="AF39" s="16"/>
      <c r="AG39" s="16"/>
      <c r="AH39" s="17">
        <v>148.63071766682</v>
      </c>
      <c r="AI39" s="17">
        <v>148.63990329182701</v>
      </c>
      <c r="AJ39" s="17">
        <v>148.63990329182701</v>
      </c>
      <c r="AK39" s="17">
        <v>148.63990329182701</v>
      </c>
      <c r="AL39" s="17">
        <v>1.4618751592934099E-3</v>
      </c>
      <c r="AM39" s="16"/>
      <c r="AN39" s="16"/>
      <c r="AO39" s="16"/>
      <c r="AP39" s="16"/>
      <c r="AQ39" s="17">
        <v>152.153351709014</v>
      </c>
      <c r="AR39" s="17" t="s">
        <v>196</v>
      </c>
      <c r="AS39" s="17" t="s">
        <v>432</v>
      </c>
      <c r="AT39" s="17" t="s">
        <v>433</v>
      </c>
      <c r="AU39" s="17" t="s">
        <v>110</v>
      </c>
      <c r="AV39" s="17" t="s">
        <v>111</v>
      </c>
      <c r="AW39" s="17" t="s">
        <v>111</v>
      </c>
      <c r="AX39" s="17" t="s">
        <v>434</v>
      </c>
      <c r="AY39" s="17" t="s">
        <v>113</v>
      </c>
      <c r="AZ39" s="17">
        <v>4.0999999999999996</v>
      </c>
      <c r="BA39" s="17">
        <v>1</v>
      </c>
      <c r="BB39" s="17" t="s">
        <v>397</v>
      </c>
      <c r="BC39" s="17" t="s">
        <v>61</v>
      </c>
      <c r="BD39" s="16"/>
      <c r="BE39" s="17" t="s">
        <v>62</v>
      </c>
      <c r="BF39" s="17" t="s">
        <v>172</v>
      </c>
      <c r="BG39" s="17" t="s">
        <v>398</v>
      </c>
      <c r="BH39" s="16"/>
    </row>
    <row r="40" spans="1:60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22" t="s">
        <v>148</v>
      </c>
      <c r="H40" s="22" t="s">
        <v>74</v>
      </c>
      <c r="I40" s="22" t="s">
        <v>84</v>
      </c>
      <c r="J40" s="22" t="s">
        <v>435</v>
      </c>
      <c r="K40" s="17" t="s">
        <v>436</v>
      </c>
      <c r="L40" s="17" t="s">
        <v>428</v>
      </c>
      <c r="M40" s="17" t="s">
        <v>87</v>
      </c>
      <c r="N40" s="17" t="s">
        <v>88</v>
      </c>
      <c r="O40" s="17" t="s">
        <v>88</v>
      </c>
      <c r="P40" s="17" t="s">
        <v>437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13</v>
      </c>
      <c r="Z40" s="17">
        <v>152.179289499996</v>
      </c>
      <c r="AA40" s="16"/>
      <c r="AB40" s="16"/>
      <c r="AC40" s="16"/>
      <c r="AD40" s="16"/>
      <c r="AE40" s="16"/>
      <c r="AF40" s="16"/>
      <c r="AG40" s="16"/>
      <c r="AH40" s="17">
        <v>152.155217791908</v>
      </c>
      <c r="AI40" s="17">
        <v>152.179289499996</v>
      </c>
      <c r="AJ40" s="17">
        <v>152.179289499996</v>
      </c>
      <c r="AK40" s="17">
        <v>152.179289499996</v>
      </c>
      <c r="AL40" s="17">
        <v>1.7644159961491799E-3</v>
      </c>
      <c r="AM40" s="16"/>
      <c r="AN40" s="16"/>
      <c r="AO40" s="16"/>
      <c r="AP40" s="16"/>
      <c r="AQ40" s="17">
        <v>158.92158074979699</v>
      </c>
      <c r="AR40" s="17" t="s">
        <v>435</v>
      </c>
      <c r="AS40" s="17" t="s">
        <v>436</v>
      </c>
      <c r="AT40" s="17" t="s">
        <v>428</v>
      </c>
      <c r="AU40" s="17" t="s">
        <v>87</v>
      </c>
      <c r="AV40" s="17" t="s">
        <v>88</v>
      </c>
      <c r="AW40" s="17" t="s">
        <v>88</v>
      </c>
      <c r="AX40" s="17" t="s">
        <v>437</v>
      </c>
      <c r="AY40" s="17" t="s">
        <v>90</v>
      </c>
      <c r="AZ40" s="17">
        <v>4.0999999999999996</v>
      </c>
      <c r="BA40" s="17">
        <v>1</v>
      </c>
      <c r="BB40" s="17" t="s">
        <v>397</v>
      </c>
      <c r="BC40" s="17" t="s">
        <v>61</v>
      </c>
      <c r="BD40" s="16"/>
      <c r="BE40" s="17" t="s">
        <v>62</v>
      </c>
      <c r="BF40" s="17" t="s">
        <v>172</v>
      </c>
      <c r="BG40" s="17" t="s">
        <v>398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133</v>
      </c>
      <c r="H41" s="22" t="s">
        <v>64</v>
      </c>
      <c r="I41" s="22" t="s">
        <v>84</v>
      </c>
      <c r="J41" s="22" t="s">
        <v>438</v>
      </c>
      <c r="K41" s="17" t="s">
        <v>93</v>
      </c>
      <c r="L41" s="17" t="s">
        <v>93</v>
      </c>
      <c r="M41" s="17" t="s">
        <v>93</v>
      </c>
      <c r="N41" s="17" t="s">
        <v>93</v>
      </c>
      <c r="O41" s="17" t="s">
        <v>93</v>
      </c>
      <c r="P41" s="17" t="s">
        <v>93</v>
      </c>
      <c r="Q41" s="17" t="s">
        <v>93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18</v>
      </c>
      <c r="Z41" s="17">
        <v>158.932824291987</v>
      </c>
      <c r="AA41" s="16"/>
      <c r="AB41" s="16"/>
      <c r="AC41" s="16"/>
      <c r="AD41" s="16"/>
      <c r="AE41" s="16"/>
      <c r="AF41" s="16"/>
      <c r="AG41" s="16"/>
      <c r="AH41" s="17">
        <v>158.92408816679401</v>
      </c>
      <c r="AI41" s="17">
        <v>158.932824291987</v>
      </c>
      <c r="AJ41" s="17">
        <v>158.932824291987</v>
      </c>
      <c r="AK41" s="17">
        <v>158.932824291987</v>
      </c>
      <c r="AL41" s="17">
        <v>2.4145832285285E-3</v>
      </c>
      <c r="AM41" s="17">
        <v>168.93145845900301</v>
      </c>
      <c r="AN41" s="17">
        <v>168.93145845900301</v>
      </c>
      <c r="AO41" s="17">
        <v>168.93145845900301</v>
      </c>
      <c r="AP41" s="17">
        <v>9.9975057081319392</v>
      </c>
      <c r="AQ41" s="17">
        <v>168.91941595892399</v>
      </c>
      <c r="AR41" s="17" t="s">
        <v>438</v>
      </c>
      <c r="AS41" s="17" t="s">
        <v>93</v>
      </c>
      <c r="AT41" s="17" t="s">
        <v>93</v>
      </c>
      <c r="AU41" s="17" t="s">
        <v>93</v>
      </c>
      <c r="AV41" s="17" t="s">
        <v>93</v>
      </c>
      <c r="AW41" s="17" t="s">
        <v>93</v>
      </c>
      <c r="AX41" s="17" t="s">
        <v>93</v>
      </c>
      <c r="AY41" s="17" t="s">
        <v>93</v>
      </c>
      <c r="AZ41" s="17">
        <v>4.0999999999999996</v>
      </c>
      <c r="BA41" s="17">
        <v>1</v>
      </c>
      <c r="BB41" s="17" t="s">
        <v>397</v>
      </c>
      <c r="BC41" s="17" t="s">
        <v>61</v>
      </c>
      <c r="BD41" s="16"/>
      <c r="BE41" s="17" t="s">
        <v>62</v>
      </c>
      <c r="BF41" s="17" t="s">
        <v>172</v>
      </c>
      <c r="BG41" s="17" t="s">
        <v>398</v>
      </c>
      <c r="BH41" s="16"/>
    </row>
    <row r="42" spans="1:60" ht="140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17" t="s">
        <v>94</v>
      </c>
      <c r="H42" s="17" t="s">
        <v>95</v>
      </c>
      <c r="I42" s="17" t="s">
        <v>96</v>
      </c>
      <c r="J42" s="17" t="s">
        <v>95</v>
      </c>
      <c r="K42" s="17" t="s">
        <v>439</v>
      </c>
      <c r="L42" s="17" t="s">
        <v>440</v>
      </c>
      <c r="M42" s="17" t="s">
        <v>206</v>
      </c>
      <c r="N42" s="17" t="s">
        <v>207</v>
      </c>
      <c r="O42" s="17" t="s">
        <v>207</v>
      </c>
      <c r="P42" s="17" t="s">
        <v>441</v>
      </c>
      <c r="Q42" s="17" t="s">
        <v>209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22</v>
      </c>
      <c r="Z42" s="17">
        <v>168.93145845900301</v>
      </c>
      <c r="AA42" s="16"/>
      <c r="AB42" s="16"/>
      <c r="AC42" s="16"/>
      <c r="AD42" s="16"/>
      <c r="AE42" s="16"/>
      <c r="AF42" s="16"/>
      <c r="AG42" s="16"/>
      <c r="AH42" s="17">
        <v>168.92150033381799</v>
      </c>
      <c r="AI42" s="17">
        <v>168.93145845900301</v>
      </c>
      <c r="AJ42" s="17">
        <v>168.93145845900301</v>
      </c>
      <c r="AK42" s="17">
        <v>168.93145845900301</v>
      </c>
      <c r="AL42" s="17">
        <v>-1.7337477765977399E-4</v>
      </c>
      <c r="AM42" s="16"/>
      <c r="AN42" s="16"/>
      <c r="AO42" s="16"/>
      <c r="AP42" s="16"/>
      <c r="AQ42" s="17">
        <v>174.62060070899301</v>
      </c>
      <c r="AR42" s="17" t="s">
        <v>95</v>
      </c>
      <c r="AS42" s="17" t="s">
        <v>439</v>
      </c>
      <c r="AT42" s="17" t="s">
        <v>440</v>
      </c>
      <c r="AU42" s="17" t="s">
        <v>206</v>
      </c>
      <c r="AV42" s="17" t="s">
        <v>207</v>
      </c>
      <c r="AW42" s="17" t="s">
        <v>207</v>
      </c>
      <c r="AX42" s="17" t="s">
        <v>441</v>
      </c>
      <c r="AY42" s="17" t="s">
        <v>209</v>
      </c>
      <c r="AZ42" s="17">
        <v>4.0999999999999996</v>
      </c>
      <c r="BA42" s="17">
        <v>1</v>
      </c>
      <c r="BB42" s="17" t="s">
        <v>397</v>
      </c>
      <c r="BC42" s="17" t="s">
        <v>61</v>
      </c>
      <c r="BD42" s="16"/>
      <c r="BE42" s="17" t="s">
        <v>62</v>
      </c>
      <c r="BF42" s="17" t="s">
        <v>172</v>
      </c>
      <c r="BG42" s="17" t="s">
        <v>398</v>
      </c>
      <c r="BH42" s="16"/>
    </row>
    <row r="43" spans="1:60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22" t="s">
        <v>91</v>
      </c>
      <c r="H43" s="22" t="s">
        <v>71</v>
      </c>
      <c r="I43" s="22" t="s">
        <v>84</v>
      </c>
      <c r="J43" s="22" t="s">
        <v>442</v>
      </c>
      <c r="K43" s="17" t="s">
        <v>93</v>
      </c>
      <c r="L43" s="17" t="s">
        <v>93</v>
      </c>
      <c r="M43" s="17" t="s">
        <v>93</v>
      </c>
      <c r="N43" s="17" t="s">
        <v>93</v>
      </c>
      <c r="O43" s="17" t="s">
        <v>93</v>
      </c>
      <c r="P43" s="17" t="s">
        <v>93</v>
      </c>
      <c r="Q43" s="17" t="s">
        <v>93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19</v>
      </c>
      <c r="Z43" s="17">
        <v>174.63178712478799</v>
      </c>
      <c r="AA43" s="16"/>
      <c r="AB43" s="16"/>
      <c r="AC43" s="16"/>
      <c r="AD43" s="16"/>
      <c r="AE43" s="16"/>
      <c r="AF43" s="16"/>
      <c r="AG43" s="16"/>
      <c r="AH43" s="17">
        <v>174.622915583896</v>
      </c>
      <c r="AI43" s="17">
        <v>174.63178712478799</v>
      </c>
      <c r="AJ43" s="17">
        <v>174.63178712478799</v>
      </c>
      <c r="AK43" s="17">
        <v>174.63178712478799</v>
      </c>
      <c r="AL43" s="17">
        <v>2.2006249055266402E-3</v>
      </c>
      <c r="AM43" s="17">
        <v>184.63150091678801</v>
      </c>
      <c r="AN43" s="17">
        <v>184.63150091678801</v>
      </c>
      <c r="AO43" s="17">
        <v>184.63150091678801</v>
      </c>
      <c r="AP43" s="17">
        <v>9.9983319579623604</v>
      </c>
      <c r="AQ43" s="17">
        <v>184.61929141683501</v>
      </c>
      <c r="AR43" s="17" t="s">
        <v>442</v>
      </c>
      <c r="AS43" s="17" t="s">
        <v>93</v>
      </c>
      <c r="AT43" s="17" t="s">
        <v>93</v>
      </c>
      <c r="AU43" s="17" t="s">
        <v>93</v>
      </c>
      <c r="AV43" s="17" t="s">
        <v>93</v>
      </c>
      <c r="AW43" s="17" t="s">
        <v>93</v>
      </c>
      <c r="AX43" s="17" t="s">
        <v>93</v>
      </c>
      <c r="AY43" s="17" t="s">
        <v>93</v>
      </c>
      <c r="AZ43" s="17">
        <v>4.0999999999999996</v>
      </c>
      <c r="BA43" s="17">
        <v>1</v>
      </c>
      <c r="BB43" s="17" t="s">
        <v>397</v>
      </c>
      <c r="BC43" s="17" t="s">
        <v>61</v>
      </c>
      <c r="BD43" s="16"/>
      <c r="BE43" s="17" t="s">
        <v>62</v>
      </c>
      <c r="BF43" s="17" t="s">
        <v>172</v>
      </c>
      <c r="BG43" s="17" t="s">
        <v>398</v>
      </c>
      <c r="BH43" s="16"/>
    </row>
    <row r="44" spans="1:60" ht="19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 t="s">
        <v>131</v>
      </c>
      <c r="H44" s="22" t="s">
        <v>76</v>
      </c>
      <c r="I44" s="22" t="s">
        <v>84</v>
      </c>
      <c r="J44" s="22" t="s">
        <v>347</v>
      </c>
      <c r="K44" s="17" t="s">
        <v>443</v>
      </c>
      <c r="L44" s="17" t="s">
        <v>444</v>
      </c>
      <c r="M44" s="17" t="s">
        <v>423</v>
      </c>
      <c r="N44" s="17" t="s">
        <v>424</v>
      </c>
      <c r="O44" s="17" t="s">
        <v>424</v>
      </c>
      <c r="P44" s="17" t="s">
        <v>445</v>
      </c>
      <c r="Q44" s="17" t="s">
        <v>426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6</v>
      </c>
      <c r="Z44" s="17">
        <v>184.63150091678801</v>
      </c>
      <c r="AA44" s="16"/>
      <c r="AB44" s="16"/>
      <c r="AC44" s="16"/>
      <c r="AD44" s="16"/>
      <c r="AE44" s="16"/>
      <c r="AF44" s="16"/>
      <c r="AG44" s="16"/>
      <c r="AH44" s="17">
        <v>184.62168670888099</v>
      </c>
      <c r="AI44" s="17">
        <v>184.63150091678801</v>
      </c>
      <c r="AJ44" s="17">
        <v>184.63150091678801</v>
      </c>
      <c r="AK44" s="17">
        <v>184.63150091678801</v>
      </c>
      <c r="AL44" s="17">
        <v>9.7458297386765502E-4</v>
      </c>
      <c r="AM44" s="16"/>
      <c r="AN44" s="16"/>
      <c r="AO44" s="16"/>
      <c r="AP44" s="16"/>
      <c r="AQ44" s="17">
        <v>191.27152949990699</v>
      </c>
      <c r="AR44" s="17" t="s">
        <v>347</v>
      </c>
      <c r="AS44" s="17" t="s">
        <v>443</v>
      </c>
      <c r="AT44" s="17" t="s">
        <v>444</v>
      </c>
      <c r="AU44" s="17" t="s">
        <v>423</v>
      </c>
      <c r="AV44" s="17" t="s">
        <v>424</v>
      </c>
      <c r="AW44" s="17" t="s">
        <v>424</v>
      </c>
      <c r="AX44" s="17" t="s">
        <v>445</v>
      </c>
      <c r="AY44" s="17" t="s">
        <v>426</v>
      </c>
      <c r="AZ44" s="17">
        <v>4.0999999999999996</v>
      </c>
      <c r="BA44" s="17">
        <v>1</v>
      </c>
      <c r="BB44" s="17" t="s">
        <v>397</v>
      </c>
      <c r="BC44" s="17" t="s">
        <v>61</v>
      </c>
      <c r="BD44" s="16"/>
      <c r="BE44" s="17" t="s">
        <v>62</v>
      </c>
      <c r="BF44" s="17" t="s">
        <v>172</v>
      </c>
      <c r="BG44" s="17" t="s">
        <v>398</v>
      </c>
      <c r="BH44" s="16"/>
    </row>
    <row r="45" spans="1:60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17" t="s">
        <v>123</v>
      </c>
      <c r="H45" s="17" t="s">
        <v>78</v>
      </c>
      <c r="I45" s="17" t="s">
        <v>84</v>
      </c>
      <c r="J45" s="17" t="s">
        <v>78</v>
      </c>
      <c r="K45" s="17" t="s">
        <v>115</v>
      </c>
      <c r="L45" s="17" t="s">
        <v>383</v>
      </c>
      <c r="M45" s="17" t="s">
        <v>87</v>
      </c>
      <c r="N45" s="17" t="s">
        <v>88</v>
      </c>
      <c r="O45" s="17" t="s">
        <v>88</v>
      </c>
      <c r="P45" s="17" t="s">
        <v>446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5</v>
      </c>
      <c r="Z45" s="17">
        <v>191.28270949982101</v>
      </c>
      <c r="AA45" s="16"/>
      <c r="AB45" s="16"/>
      <c r="AC45" s="16"/>
      <c r="AD45" s="16"/>
      <c r="AE45" s="16"/>
      <c r="AF45" s="16"/>
      <c r="AG45" s="16"/>
      <c r="AH45" s="17">
        <v>191.27396420901599</v>
      </c>
      <c r="AI45" s="17">
        <v>191.28270949982101</v>
      </c>
      <c r="AJ45" s="17">
        <v>191.28270949982101</v>
      </c>
      <c r="AK45" s="17">
        <v>191.28270949982101</v>
      </c>
      <c r="AL45" s="17">
        <v>2.2616249043494502E-3</v>
      </c>
      <c r="AM45" s="16"/>
      <c r="AN45" s="16"/>
      <c r="AO45" s="16"/>
      <c r="AP45" s="16"/>
      <c r="AQ45" s="17">
        <v>193.337274541846</v>
      </c>
      <c r="AR45" s="17" t="s">
        <v>78</v>
      </c>
      <c r="AS45" s="17" t="s">
        <v>115</v>
      </c>
      <c r="AT45" s="17" t="s">
        <v>383</v>
      </c>
      <c r="AU45" s="17" t="s">
        <v>87</v>
      </c>
      <c r="AV45" s="17" t="s">
        <v>88</v>
      </c>
      <c r="AW45" s="17" t="s">
        <v>88</v>
      </c>
      <c r="AX45" s="17" t="s">
        <v>446</v>
      </c>
      <c r="AY45" s="17" t="s">
        <v>90</v>
      </c>
      <c r="AZ45" s="17">
        <v>4.0999999999999996</v>
      </c>
      <c r="BA45" s="17">
        <v>1</v>
      </c>
      <c r="BB45" s="17" t="s">
        <v>397</v>
      </c>
      <c r="BC45" s="17" t="s">
        <v>61</v>
      </c>
      <c r="BD45" s="16"/>
      <c r="BE45" s="17" t="s">
        <v>62</v>
      </c>
      <c r="BF45" s="17" t="s">
        <v>172</v>
      </c>
      <c r="BG45" s="17" t="s">
        <v>398</v>
      </c>
      <c r="BH45" s="16"/>
    </row>
    <row r="46" spans="1:60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104</v>
      </c>
      <c r="H46" s="17" t="s">
        <v>70</v>
      </c>
      <c r="I46" s="17" t="s">
        <v>84</v>
      </c>
      <c r="J46" s="17" t="s">
        <v>70</v>
      </c>
      <c r="K46" s="17" t="s">
        <v>115</v>
      </c>
      <c r="L46" s="17" t="s">
        <v>383</v>
      </c>
      <c r="M46" s="17" t="s">
        <v>87</v>
      </c>
      <c r="N46" s="17" t="s">
        <v>88</v>
      </c>
      <c r="O46" s="17" t="s">
        <v>88</v>
      </c>
      <c r="P46" s="17" t="s">
        <v>447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2</v>
      </c>
      <c r="Z46" s="17">
        <v>193.34888637485</v>
      </c>
      <c r="AA46" s="16"/>
      <c r="AB46" s="16"/>
      <c r="AC46" s="16"/>
      <c r="AD46" s="16"/>
      <c r="AE46" s="16"/>
      <c r="AF46" s="16"/>
      <c r="AG46" s="16"/>
      <c r="AH46" s="17">
        <v>193.33970716688799</v>
      </c>
      <c r="AI46" s="17">
        <v>193.34888637485</v>
      </c>
      <c r="AJ46" s="17">
        <v>193.34888637485</v>
      </c>
      <c r="AK46" s="17">
        <v>193.34888637485</v>
      </c>
      <c r="AL46" s="17">
        <v>2.3437088821083299E-3</v>
      </c>
      <c r="AM46" s="16"/>
      <c r="AN46" s="16"/>
      <c r="AO46" s="16"/>
      <c r="AP46" s="16"/>
      <c r="AQ46" s="17">
        <v>196.05446208384799</v>
      </c>
      <c r="AR46" s="17" t="s">
        <v>70</v>
      </c>
      <c r="AS46" s="17" t="s">
        <v>115</v>
      </c>
      <c r="AT46" s="17" t="s">
        <v>383</v>
      </c>
      <c r="AU46" s="17" t="s">
        <v>87</v>
      </c>
      <c r="AV46" s="17" t="s">
        <v>88</v>
      </c>
      <c r="AW46" s="17" t="s">
        <v>88</v>
      </c>
      <c r="AX46" s="17" t="s">
        <v>447</v>
      </c>
      <c r="AY46" s="17" t="s">
        <v>90</v>
      </c>
      <c r="AZ46" s="17">
        <v>4.0999999999999996</v>
      </c>
      <c r="BA46" s="17">
        <v>1</v>
      </c>
      <c r="BB46" s="17" t="s">
        <v>397</v>
      </c>
      <c r="BC46" s="17" t="s">
        <v>61</v>
      </c>
      <c r="BD46" s="16"/>
      <c r="BE46" s="17" t="s">
        <v>62</v>
      </c>
      <c r="BF46" s="17" t="s">
        <v>172</v>
      </c>
      <c r="BG46" s="17" t="s">
        <v>398</v>
      </c>
      <c r="BH46" s="16"/>
    </row>
    <row r="48" spans="1:60" ht="14" x14ac:dyDescent="0.15">
      <c r="K48" s="19" t="s">
        <v>630</v>
      </c>
      <c r="L48" s="24" t="s">
        <v>645</v>
      </c>
      <c r="M48">
        <f>10/18</f>
        <v>0.55555555555555558</v>
      </c>
    </row>
    <row r="49" spans="11:13" ht="14" x14ac:dyDescent="0.15">
      <c r="K49" s="19" t="s">
        <v>631</v>
      </c>
      <c r="L49" s="17" t="s">
        <v>646</v>
      </c>
      <c r="M49">
        <f>1/5</f>
        <v>0.2</v>
      </c>
    </row>
    <row r="50" spans="11:13" x14ac:dyDescent="0.15">
      <c r="K50" s="1"/>
    </row>
    <row r="51" spans="11:13" x14ac:dyDescent="0.15">
      <c r="K51" s="19" t="s">
        <v>634</v>
      </c>
      <c r="M51">
        <f>M48-M49</f>
        <v>0.35555555555555557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524E-A0F7-2246-A72F-24DD31CACFF4}">
  <dimension ref="A1:BH53"/>
  <sheetViews>
    <sheetView topLeftCell="A37" workbookViewId="0">
      <selection activeCell="M53" sqref="M53"/>
    </sheetView>
  </sheetViews>
  <sheetFormatPr baseColWidth="10" defaultRowHeight="13" x14ac:dyDescent="0.15"/>
  <cols>
    <col min="11" max="11" width="32.1640625" customWidth="1"/>
    <col min="13" max="13" width="12.33203125" bestFit="1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72</v>
      </c>
      <c r="B2" s="17">
        <v>0</v>
      </c>
      <c r="C2" s="17">
        <v>0</v>
      </c>
      <c r="D2" s="17">
        <v>0</v>
      </c>
      <c r="E2" s="17">
        <v>1.0359712230215801</v>
      </c>
      <c r="F2" s="17">
        <v>1.5744295830372701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0</v>
      </c>
      <c r="V2" s="16"/>
      <c r="W2" s="16"/>
      <c r="X2" s="16"/>
      <c r="Y2" s="16"/>
      <c r="Z2" s="17">
        <v>3.5355125088244697E-2</v>
      </c>
      <c r="AA2" s="16"/>
      <c r="AB2" s="17">
        <v>1.8622083123773302E-2</v>
      </c>
      <c r="AC2" s="17">
        <v>3.5355125088244697E-2</v>
      </c>
      <c r="AD2" s="17">
        <v>3.5355125088244697E-2</v>
      </c>
      <c r="AE2" s="17">
        <v>1.6017952500842501</v>
      </c>
      <c r="AF2" s="17">
        <v>1.0359712230215801</v>
      </c>
      <c r="AG2" s="17">
        <v>1.5744295830372701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>
        <v>4.2</v>
      </c>
      <c r="BA2" s="17">
        <v>1</v>
      </c>
      <c r="BB2" s="17" t="s">
        <v>448</v>
      </c>
      <c r="BC2" s="17" t="s">
        <v>61</v>
      </c>
      <c r="BD2" s="16"/>
      <c r="BE2" s="17" t="s">
        <v>62</v>
      </c>
      <c r="BF2" s="17" t="s">
        <v>172</v>
      </c>
      <c r="BG2" s="17" t="s">
        <v>449</v>
      </c>
      <c r="BH2" s="16"/>
    </row>
    <row r="3" spans="1:60" ht="56" x14ac:dyDescent="0.15">
      <c r="A3" s="15" t="s">
        <v>65</v>
      </c>
      <c r="B3" s="17">
        <v>1</v>
      </c>
      <c r="C3" s="17">
        <v>1</v>
      </c>
      <c r="D3" s="17">
        <v>0</v>
      </c>
      <c r="E3" s="17">
        <v>4.0431654676258999</v>
      </c>
      <c r="F3" s="17">
        <v>4.9697978340555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11</v>
      </c>
      <c r="V3" s="16"/>
      <c r="W3" s="16"/>
      <c r="X3" s="16"/>
      <c r="Y3" s="16"/>
      <c r="Z3" s="17">
        <v>1.6124020409770301</v>
      </c>
      <c r="AA3" s="16"/>
      <c r="AB3" s="17">
        <v>1.60580791602843</v>
      </c>
      <c r="AC3" s="17">
        <v>1.6124020409770301</v>
      </c>
      <c r="AD3" s="17">
        <v>1.6124020409770301</v>
      </c>
      <c r="AE3" s="17">
        <v>6.5851159160956696</v>
      </c>
      <c r="AF3" s="17">
        <v>4.0431654676258999</v>
      </c>
      <c r="AG3" s="17">
        <v>4.9697978340555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>
        <v>4.2</v>
      </c>
      <c r="BA3" s="17">
        <v>1</v>
      </c>
      <c r="BB3" s="17" t="s">
        <v>448</v>
      </c>
      <c r="BC3" s="17" t="s">
        <v>61</v>
      </c>
      <c r="BD3" s="16"/>
      <c r="BE3" s="17" t="s">
        <v>62</v>
      </c>
      <c r="BF3" s="17" t="s">
        <v>172</v>
      </c>
      <c r="BG3" s="17" t="s">
        <v>449</v>
      </c>
      <c r="BH3" s="16"/>
    </row>
    <row r="4" spans="1:60" ht="56" x14ac:dyDescent="0.15">
      <c r="A4" s="15" t="s">
        <v>59</v>
      </c>
      <c r="B4" s="17">
        <v>2</v>
      </c>
      <c r="C4" s="17">
        <v>2</v>
      </c>
      <c r="D4" s="17">
        <v>0</v>
      </c>
      <c r="E4" s="17">
        <v>1.96762589928058</v>
      </c>
      <c r="F4" s="17">
        <v>3.3044692501425699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12</v>
      </c>
      <c r="V4" s="16"/>
      <c r="W4" s="16"/>
      <c r="X4" s="16"/>
      <c r="Y4" s="16"/>
      <c r="Z4" s="17">
        <v>6.5948787080124003</v>
      </c>
      <c r="AA4" s="16"/>
      <c r="AB4" s="17">
        <v>6.5882534580305201</v>
      </c>
      <c r="AC4" s="17">
        <v>6.5948787080124003</v>
      </c>
      <c r="AD4" s="17">
        <v>6.5948787080124003</v>
      </c>
      <c r="AE4" s="17">
        <v>9.9017854579724407</v>
      </c>
      <c r="AF4" s="17">
        <v>1.96762589928058</v>
      </c>
      <c r="AG4" s="17">
        <v>3.3044692501425699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>
        <v>4.2</v>
      </c>
      <c r="BA4" s="17">
        <v>1</v>
      </c>
      <c r="BB4" s="17" t="s">
        <v>448</v>
      </c>
      <c r="BC4" s="17" t="s">
        <v>61</v>
      </c>
      <c r="BD4" s="16"/>
      <c r="BE4" s="17" t="s">
        <v>62</v>
      </c>
      <c r="BF4" s="17" t="s">
        <v>172</v>
      </c>
      <c r="BG4" s="17" t="s">
        <v>449</v>
      </c>
      <c r="BH4" s="16"/>
    </row>
    <row r="5" spans="1:60" ht="56" x14ac:dyDescent="0.15">
      <c r="A5" s="15" t="s">
        <v>69</v>
      </c>
      <c r="B5" s="17">
        <v>3</v>
      </c>
      <c r="C5" s="17">
        <v>3</v>
      </c>
      <c r="D5" s="17">
        <v>0</v>
      </c>
      <c r="E5" s="17">
        <v>1.0359712230215801</v>
      </c>
      <c r="F5" s="17">
        <v>0.70552183315157901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8</v>
      </c>
      <c r="V5" s="16"/>
      <c r="W5" s="16"/>
      <c r="X5" s="16"/>
      <c r="Y5" s="16"/>
      <c r="Z5" s="17">
        <v>9.9101586251053995</v>
      </c>
      <c r="AA5" s="16"/>
      <c r="AB5" s="17">
        <v>9.9036973749753106</v>
      </c>
      <c r="AC5" s="17">
        <v>9.9101586251053995</v>
      </c>
      <c r="AD5" s="17">
        <v>9.9101586251053995</v>
      </c>
      <c r="AE5" s="17">
        <v>10.618484541075301</v>
      </c>
      <c r="AF5" s="17">
        <v>1.0359712230215801</v>
      </c>
      <c r="AG5" s="17">
        <v>0.70552183315157901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>
        <v>4.2</v>
      </c>
      <c r="BA5" s="17">
        <v>1</v>
      </c>
      <c r="BB5" s="17" t="s">
        <v>448</v>
      </c>
      <c r="BC5" s="17" t="s">
        <v>61</v>
      </c>
      <c r="BD5" s="16"/>
      <c r="BE5" s="17" t="s">
        <v>62</v>
      </c>
      <c r="BF5" s="17" t="s">
        <v>172</v>
      </c>
      <c r="BG5" s="17" t="s">
        <v>449</v>
      </c>
      <c r="BH5" s="16"/>
    </row>
    <row r="6" spans="1:60" ht="56" x14ac:dyDescent="0.15">
      <c r="A6" s="15" t="s">
        <v>67</v>
      </c>
      <c r="B6" s="17">
        <v>4</v>
      </c>
      <c r="C6" s="17">
        <v>4</v>
      </c>
      <c r="D6" s="17">
        <v>0</v>
      </c>
      <c r="E6" s="17">
        <v>1.0359712230215801</v>
      </c>
      <c r="F6" s="17">
        <v>0.47089254111051598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16</v>
      </c>
      <c r="V6" s="16"/>
      <c r="W6" s="16"/>
      <c r="X6" s="16"/>
      <c r="Y6" s="16"/>
      <c r="Z6" s="17">
        <v>10.6278847500216</v>
      </c>
      <c r="AA6" s="16"/>
      <c r="AB6" s="17">
        <v>10.621408125152801</v>
      </c>
      <c r="AC6" s="17">
        <v>10.6278847500216</v>
      </c>
      <c r="AD6" s="17">
        <v>10.6278847500216</v>
      </c>
      <c r="AE6" s="17">
        <v>11.101659291191</v>
      </c>
      <c r="AF6" s="17">
        <v>1.0359712230215801</v>
      </c>
      <c r="AG6" s="17">
        <v>0.47089254111051598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>
        <v>4.2</v>
      </c>
      <c r="BA6" s="17">
        <v>1</v>
      </c>
      <c r="BB6" s="17" t="s">
        <v>448</v>
      </c>
      <c r="BC6" s="17" t="s">
        <v>61</v>
      </c>
      <c r="BD6" s="16"/>
      <c r="BE6" s="17" t="s">
        <v>62</v>
      </c>
      <c r="BF6" s="17" t="s">
        <v>172</v>
      </c>
      <c r="BG6" s="17" t="s">
        <v>449</v>
      </c>
      <c r="BH6" s="16"/>
    </row>
    <row r="7" spans="1:60" ht="56" x14ac:dyDescent="0.15">
      <c r="A7" s="15" t="s">
        <v>68</v>
      </c>
      <c r="B7" s="17">
        <v>5</v>
      </c>
      <c r="C7" s="17">
        <v>5</v>
      </c>
      <c r="D7" s="17">
        <v>0</v>
      </c>
      <c r="E7" s="17">
        <v>3.8741007194244599</v>
      </c>
      <c r="F7" s="17">
        <v>4.1061362090986204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17</v>
      </c>
      <c r="V7" s="16"/>
      <c r="W7" s="16"/>
      <c r="X7" s="16"/>
      <c r="Y7" s="16"/>
      <c r="Z7" s="17">
        <v>11.109688750002499</v>
      </c>
      <c r="AA7" s="16"/>
      <c r="AB7" s="17">
        <v>11.1032849580515</v>
      </c>
      <c r="AC7" s="17">
        <v>11.109688750002499</v>
      </c>
      <c r="AD7" s="17">
        <v>11.109688750002499</v>
      </c>
      <c r="AE7" s="17">
        <v>15.218447791179599</v>
      </c>
      <c r="AF7" s="17">
        <v>3.8741007194244599</v>
      </c>
      <c r="AG7" s="17">
        <v>4.1061362090986204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>
        <v>4.2</v>
      </c>
      <c r="BA7" s="17">
        <v>1</v>
      </c>
      <c r="BB7" s="17" t="s">
        <v>448</v>
      </c>
      <c r="BC7" s="17" t="s">
        <v>61</v>
      </c>
      <c r="BD7" s="16"/>
      <c r="BE7" s="17" t="s">
        <v>62</v>
      </c>
      <c r="BF7" s="17" t="s">
        <v>172</v>
      </c>
      <c r="BG7" s="17" t="s">
        <v>449</v>
      </c>
      <c r="BH7" s="16"/>
    </row>
    <row r="8" spans="1:60" ht="56" x14ac:dyDescent="0.15">
      <c r="A8" s="15" t="s">
        <v>66</v>
      </c>
      <c r="B8" s="17">
        <v>6</v>
      </c>
      <c r="C8" s="17">
        <v>6</v>
      </c>
      <c r="D8" s="17">
        <v>0</v>
      </c>
      <c r="E8" s="17">
        <v>1</v>
      </c>
      <c r="F8" s="17">
        <v>2.2724114998709402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1</v>
      </c>
      <c r="V8" s="16"/>
      <c r="W8" s="16"/>
      <c r="X8" s="16"/>
      <c r="Y8" s="16"/>
      <c r="Z8" s="17">
        <v>15.227008457994099</v>
      </c>
      <c r="AA8" s="16"/>
      <c r="AB8" s="17">
        <v>15.2203304159921</v>
      </c>
      <c r="AC8" s="17">
        <v>15.227008457994099</v>
      </c>
      <c r="AD8" s="17">
        <v>15.227008457994099</v>
      </c>
      <c r="AE8" s="17">
        <v>17.5018106661737</v>
      </c>
      <c r="AF8" s="17">
        <v>1</v>
      </c>
      <c r="AG8" s="17">
        <v>2.2724114998709402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>
        <v>4.2</v>
      </c>
      <c r="BA8" s="17">
        <v>1</v>
      </c>
      <c r="BB8" s="17" t="s">
        <v>448</v>
      </c>
      <c r="BC8" s="17" t="s">
        <v>61</v>
      </c>
      <c r="BD8" s="16"/>
      <c r="BE8" s="17" t="s">
        <v>62</v>
      </c>
      <c r="BF8" s="17" t="s">
        <v>172</v>
      </c>
      <c r="BG8" s="17" t="s">
        <v>449</v>
      </c>
      <c r="BH8" s="16"/>
    </row>
    <row r="9" spans="1:60" ht="56" x14ac:dyDescent="0.15">
      <c r="A9" s="15" t="s">
        <v>77</v>
      </c>
      <c r="B9" s="17">
        <v>7</v>
      </c>
      <c r="C9" s="17">
        <v>7</v>
      </c>
      <c r="D9" s="17">
        <v>0</v>
      </c>
      <c r="E9" s="17">
        <v>1</v>
      </c>
      <c r="F9" s="17">
        <v>0.68827999988570798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10</v>
      </c>
      <c r="V9" s="16"/>
      <c r="W9" s="16"/>
      <c r="X9" s="16"/>
      <c r="Y9" s="16"/>
      <c r="Z9" s="17">
        <v>17.511239957995699</v>
      </c>
      <c r="AA9" s="16"/>
      <c r="AB9" s="17">
        <v>17.504501458024599</v>
      </c>
      <c r="AC9" s="17">
        <v>17.511239957995699</v>
      </c>
      <c r="AD9" s="17">
        <v>17.511239957995699</v>
      </c>
      <c r="AE9" s="17">
        <v>18.201813208172101</v>
      </c>
      <c r="AF9" s="17">
        <v>1</v>
      </c>
      <c r="AG9" s="17">
        <v>0.68827999988570798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>
        <v>4.2</v>
      </c>
      <c r="BA9" s="17">
        <v>1</v>
      </c>
      <c r="BB9" s="17" t="s">
        <v>448</v>
      </c>
      <c r="BC9" s="17" t="s">
        <v>61</v>
      </c>
      <c r="BD9" s="16"/>
      <c r="BE9" s="17" t="s">
        <v>62</v>
      </c>
      <c r="BF9" s="17" t="s">
        <v>172</v>
      </c>
      <c r="BG9" s="17" t="s">
        <v>449</v>
      </c>
      <c r="BH9" s="16"/>
    </row>
    <row r="10" spans="1:60" ht="56" x14ac:dyDescent="0.15">
      <c r="A10" s="15" t="s">
        <v>79</v>
      </c>
      <c r="B10" s="17">
        <v>8</v>
      </c>
      <c r="C10" s="17">
        <v>8</v>
      </c>
      <c r="D10" s="17">
        <v>0</v>
      </c>
      <c r="E10" s="17">
        <v>1</v>
      </c>
      <c r="F10" s="17">
        <v>0.78916733292862795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3</v>
      </c>
      <c r="V10" s="16"/>
      <c r="W10" s="16"/>
      <c r="X10" s="16"/>
      <c r="Y10" s="16"/>
      <c r="Z10" s="17">
        <v>18.210107416147402</v>
      </c>
      <c r="AA10" s="16"/>
      <c r="AB10" s="17">
        <v>18.203552666120199</v>
      </c>
      <c r="AC10" s="17">
        <v>18.210107416147402</v>
      </c>
      <c r="AD10" s="17">
        <v>18.210107416147402</v>
      </c>
      <c r="AE10" s="17">
        <v>19.001786291133602</v>
      </c>
      <c r="AF10" s="17">
        <v>1</v>
      </c>
      <c r="AG10" s="17">
        <v>0.78916733292862795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>
        <v>4.2</v>
      </c>
      <c r="BA10" s="17">
        <v>1</v>
      </c>
      <c r="BB10" s="17" t="s">
        <v>448</v>
      </c>
      <c r="BC10" s="17" t="s">
        <v>61</v>
      </c>
      <c r="BD10" s="16"/>
      <c r="BE10" s="17" t="s">
        <v>62</v>
      </c>
      <c r="BF10" s="17" t="s">
        <v>172</v>
      </c>
      <c r="BG10" s="17" t="s">
        <v>449</v>
      </c>
      <c r="BH10" s="16"/>
    </row>
    <row r="11" spans="1:60" ht="56" x14ac:dyDescent="0.15">
      <c r="A11" s="15" t="s">
        <v>64</v>
      </c>
      <c r="B11" s="17">
        <v>9</v>
      </c>
      <c r="C11" s="17">
        <v>9</v>
      </c>
      <c r="D11" s="17">
        <v>0</v>
      </c>
      <c r="E11" s="17">
        <v>3.99640287769784</v>
      </c>
      <c r="F11" s="17">
        <v>2.8550720419734699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18</v>
      </c>
      <c r="V11" s="16"/>
      <c r="W11" s="16"/>
      <c r="X11" s="16"/>
      <c r="Y11" s="16"/>
      <c r="Z11" s="17">
        <v>19.010210416046899</v>
      </c>
      <c r="AA11" s="16"/>
      <c r="AB11" s="17">
        <v>19.0037422911264</v>
      </c>
      <c r="AC11" s="17">
        <v>19.010210416046899</v>
      </c>
      <c r="AD11" s="17">
        <v>19.010210416046899</v>
      </c>
      <c r="AE11" s="17">
        <v>21.8682989580557</v>
      </c>
      <c r="AF11" s="17">
        <v>3.99640287769784</v>
      </c>
      <c r="AG11" s="17">
        <v>2.8550720419734699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>
        <v>4.2</v>
      </c>
      <c r="BA11" s="17">
        <v>1</v>
      </c>
      <c r="BB11" s="17" t="s">
        <v>448</v>
      </c>
      <c r="BC11" s="17" t="s">
        <v>61</v>
      </c>
      <c r="BD11" s="16"/>
      <c r="BE11" s="17" t="s">
        <v>62</v>
      </c>
      <c r="BF11" s="17" t="s">
        <v>172</v>
      </c>
      <c r="BG11" s="17" t="s">
        <v>449</v>
      </c>
      <c r="BH11" s="16"/>
    </row>
    <row r="12" spans="1:60" ht="56" x14ac:dyDescent="0.15">
      <c r="A12" s="15" t="s">
        <v>81</v>
      </c>
      <c r="B12" s="17">
        <v>10</v>
      </c>
      <c r="C12" s="17">
        <v>10</v>
      </c>
      <c r="D12" s="17">
        <v>0</v>
      </c>
      <c r="E12" s="17">
        <v>1.1546762589928099</v>
      </c>
      <c r="F12" s="17">
        <v>1.72282408294268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4</v>
      </c>
      <c r="V12" s="16"/>
      <c r="W12" s="16"/>
      <c r="X12" s="16"/>
      <c r="Y12" s="16"/>
      <c r="Z12" s="17">
        <v>21.8766729580238</v>
      </c>
      <c r="AA12" s="16"/>
      <c r="AB12" s="17">
        <v>21.869990791194098</v>
      </c>
      <c r="AC12" s="17">
        <v>21.8766729580238</v>
      </c>
      <c r="AD12" s="17">
        <v>21.8766729580238</v>
      </c>
      <c r="AE12" s="17">
        <v>23.601786416024002</v>
      </c>
      <c r="AF12" s="17">
        <v>1.1546762589928099</v>
      </c>
      <c r="AG12" s="17">
        <v>1.72282408294268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>
        <v>4.2</v>
      </c>
      <c r="BA12" s="17">
        <v>1</v>
      </c>
      <c r="BB12" s="17" t="s">
        <v>448</v>
      </c>
      <c r="BC12" s="17" t="s">
        <v>61</v>
      </c>
      <c r="BD12" s="16"/>
      <c r="BE12" s="17" t="s">
        <v>62</v>
      </c>
      <c r="BF12" s="17" t="s">
        <v>172</v>
      </c>
      <c r="BG12" s="17" t="s">
        <v>449</v>
      </c>
      <c r="BH12" s="16"/>
    </row>
    <row r="13" spans="1:60" ht="56" x14ac:dyDescent="0.15">
      <c r="A13" s="15" t="s">
        <v>73</v>
      </c>
      <c r="B13" s="17">
        <v>11</v>
      </c>
      <c r="C13" s="17">
        <v>11</v>
      </c>
      <c r="D13" s="17">
        <v>0</v>
      </c>
      <c r="E13" s="17">
        <v>4.0287769784172696</v>
      </c>
      <c r="F13" s="17">
        <v>1.35499420808628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14</v>
      </c>
      <c r="V13" s="16"/>
      <c r="W13" s="16"/>
      <c r="X13" s="16"/>
      <c r="Y13" s="16"/>
      <c r="Z13" s="17">
        <v>23.610959375044299</v>
      </c>
      <c r="AA13" s="16"/>
      <c r="AB13" s="17">
        <v>23.604440832976302</v>
      </c>
      <c r="AC13" s="17">
        <v>23.610959375044299</v>
      </c>
      <c r="AD13" s="17">
        <v>23.610959375044299</v>
      </c>
      <c r="AE13" s="17">
        <v>24.968452583067101</v>
      </c>
      <c r="AF13" s="17">
        <v>4.0287769784172696</v>
      </c>
      <c r="AG13" s="17">
        <v>1.35499420808628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>
        <v>4.2</v>
      </c>
      <c r="BA13" s="17">
        <v>1</v>
      </c>
      <c r="BB13" s="17" t="s">
        <v>448</v>
      </c>
      <c r="BC13" s="17" t="s">
        <v>61</v>
      </c>
      <c r="BD13" s="16"/>
      <c r="BE13" s="17" t="s">
        <v>62</v>
      </c>
      <c r="BF13" s="17" t="s">
        <v>172</v>
      </c>
      <c r="BG13" s="17" t="s">
        <v>449</v>
      </c>
      <c r="BH13" s="16"/>
    </row>
    <row r="14" spans="1:60" ht="56" x14ac:dyDescent="0.15">
      <c r="A14" s="15" t="s">
        <v>70</v>
      </c>
      <c r="B14" s="17">
        <v>12</v>
      </c>
      <c r="C14" s="17">
        <v>12</v>
      </c>
      <c r="D14" s="17">
        <v>0</v>
      </c>
      <c r="E14" s="17">
        <v>1.05035971223022</v>
      </c>
      <c r="F14" s="17">
        <v>0.88824908295646299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2</v>
      </c>
      <c r="V14" s="16"/>
      <c r="W14" s="16"/>
      <c r="X14" s="16"/>
      <c r="Y14" s="16"/>
      <c r="Z14" s="17">
        <v>24.9776830831543</v>
      </c>
      <c r="AA14" s="16"/>
      <c r="AB14" s="17">
        <v>24.971045915968698</v>
      </c>
      <c r="AC14" s="17">
        <v>24.9776830831543</v>
      </c>
      <c r="AD14" s="17">
        <v>24.9776830831543</v>
      </c>
      <c r="AE14" s="17">
        <v>25.868455791147401</v>
      </c>
      <c r="AF14" s="17">
        <v>1.05035971223022</v>
      </c>
      <c r="AG14" s="17">
        <v>0.88824908295646299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>
        <v>4.2</v>
      </c>
      <c r="BA14" s="17">
        <v>1</v>
      </c>
      <c r="BB14" s="17" t="s">
        <v>448</v>
      </c>
      <c r="BC14" s="17" t="s">
        <v>61</v>
      </c>
      <c r="BD14" s="16"/>
      <c r="BE14" s="17" t="s">
        <v>62</v>
      </c>
      <c r="BF14" s="17" t="s">
        <v>172</v>
      </c>
      <c r="BG14" s="17" t="s">
        <v>449</v>
      </c>
      <c r="BH14" s="16"/>
    </row>
    <row r="15" spans="1:60" ht="56" x14ac:dyDescent="0.15">
      <c r="A15" s="15" t="s">
        <v>76</v>
      </c>
      <c r="B15" s="17">
        <v>13</v>
      </c>
      <c r="C15" s="17">
        <v>13</v>
      </c>
      <c r="D15" s="17">
        <v>0</v>
      </c>
      <c r="E15" s="17">
        <v>1</v>
      </c>
      <c r="F15" s="17">
        <v>1.75567270815372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6</v>
      </c>
      <c r="V15" s="16"/>
      <c r="W15" s="16"/>
      <c r="X15" s="16"/>
      <c r="Y15" s="16"/>
      <c r="Z15" s="17">
        <v>25.876807625172699</v>
      </c>
      <c r="AA15" s="16"/>
      <c r="AB15" s="17">
        <v>25.8702410410624</v>
      </c>
      <c r="AC15" s="17">
        <v>25.876807625172699</v>
      </c>
      <c r="AD15" s="17">
        <v>25.876807625172699</v>
      </c>
      <c r="AE15" s="17">
        <v>27.635134333046199</v>
      </c>
      <c r="AF15" s="17">
        <v>1</v>
      </c>
      <c r="AG15" s="17">
        <v>1.75567270815372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>
        <v>4.2</v>
      </c>
      <c r="BA15" s="17">
        <v>1</v>
      </c>
      <c r="BB15" s="17" t="s">
        <v>448</v>
      </c>
      <c r="BC15" s="17" t="s">
        <v>61</v>
      </c>
      <c r="BD15" s="16"/>
      <c r="BE15" s="17" t="s">
        <v>62</v>
      </c>
      <c r="BF15" s="17" t="s">
        <v>172</v>
      </c>
      <c r="BG15" s="17" t="s">
        <v>449</v>
      </c>
      <c r="BH15" s="16"/>
    </row>
    <row r="16" spans="1:60" ht="56" x14ac:dyDescent="0.15">
      <c r="A16" s="15" t="s">
        <v>78</v>
      </c>
      <c r="B16" s="17">
        <v>14</v>
      </c>
      <c r="C16" s="17">
        <v>14</v>
      </c>
      <c r="D16" s="17">
        <v>0</v>
      </c>
      <c r="E16" s="17">
        <v>1</v>
      </c>
      <c r="F16" s="17">
        <v>0.63910004193894598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5</v>
      </c>
      <c r="V16" s="16"/>
      <c r="W16" s="16"/>
      <c r="X16" s="16"/>
      <c r="Y16" s="16"/>
      <c r="Z16" s="17">
        <v>27.643476583063599</v>
      </c>
      <c r="AA16" s="16"/>
      <c r="AB16" s="17">
        <v>27.636868875008101</v>
      </c>
      <c r="AC16" s="17">
        <v>27.643476583063599</v>
      </c>
      <c r="AD16" s="17">
        <v>27.643476583063599</v>
      </c>
      <c r="AE16" s="17">
        <v>28.285062708193401</v>
      </c>
      <c r="AF16" s="17">
        <v>1</v>
      </c>
      <c r="AG16" s="17">
        <v>0.63910004193894598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>
        <v>4.2</v>
      </c>
      <c r="BA16" s="17">
        <v>1</v>
      </c>
      <c r="BB16" s="17" t="s">
        <v>448</v>
      </c>
      <c r="BC16" s="17" t="s">
        <v>61</v>
      </c>
      <c r="BD16" s="16"/>
      <c r="BE16" s="17" t="s">
        <v>62</v>
      </c>
      <c r="BF16" s="17" t="s">
        <v>172</v>
      </c>
      <c r="BG16" s="17" t="s">
        <v>449</v>
      </c>
      <c r="BH16" s="16"/>
    </row>
    <row r="17" spans="1:60" ht="56" x14ac:dyDescent="0.15">
      <c r="A17" s="15" t="s">
        <v>74</v>
      </c>
      <c r="B17" s="17">
        <v>15</v>
      </c>
      <c r="C17" s="17">
        <v>15</v>
      </c>
      <c r="D17" s="17">
        <v>0</v>
      </c>
      <c r="E17" s="17">
        <v>4.97482014388489</v>
      </c>
      <c r="F17" s="17">
        <v>1.93821904202923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13</v>
      </c>
      <c r="V17" s="16"/>
      <c r="W17" s="16"/>
      <c r="X17" s="16"/>
      <c r="Y17" s="16"/>
      <c r="Z17" s="17">
        <v>28.2941066250205</v>
      </c>
      <c r="AA17" s="16"/>
      <c r="AB17" s="17">
        <v>28.287506541004401</v>
      </c>
      <c r="AC17" s="17">
        <v>28.2941066250205</v>
      </c>
      <c r="AD17" s="17">
        <v>28.2941066250205</v>
      </c>
      <c r="AE17" s="17">
        <v>30.235110166017002</v>
      </c>
      <c r="AF17" s="17">
        <v>4.97482014388489</v>
      </c>
      <c r="AG17" s="17">
        <v>1.93821904202923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>
        <v>4.2</v>
      </c>
      <c r="BA17" s="17">
        <v>1</v>
      </c>
      <c r="BB17" s="17" t="s">
        <v>448</v>
      </c>
      <c r="BC17" s="17" t="s">
        <v>61</v>
      </c>
      <c r="BD17" s="16"/>
      <c r="BE17" s="17" t="s">
        <v>62</v>
      </c>
      <c r="BF17" s="17" t="s">
        <v>172</v>
      </c>
      <c r="BG17" s="17" t="s">
        <v>449</v>
      </c>
      <c r="BH17" s="16"/>
    </row>
    <row r="18" spans="1:60" ht="56" x14ac:dyDescent="0.15">
      <c r="A18" s="15" t="s">
        <v>80</v>
      </c>
      <c r="B18" s="17">
        <v>16</v>
      </c>
      <c r="C18" s="17">
        <v>16</v>
      </c>
      <c r="D18" s="17">
        <v>0</v>
      </c>
      <c r="E18" s="17">
        <v>1.02517985611511</v>
      </c>
      <c r="F18" s="17">
        <v>4.6723457919433704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15</v>
      </c>
      <c r="V18" s="16"/>
      <c r="W18" s="16"/>
      <c r="X18" s="16"/>
      <c r="Y18" s="16"/>
      <c r="Z18" s="17">
        <v>30.243450000183699</v>
      </c>
      <c r="AA18" s="16"/>
      <c r="AB18" s="17">
        <v>30.2368752500042</v>
      </c>
      <c r="AC18" s="17">
        <v>30.243450000183699</v>
      </c>
      <c r="AD18" s="17">
        <v>30.243450000183699</v>
      </c>
      <c r="AE18" s="17">
        <v>34.918414666084601</v>
      </c>
      <c r="AF18" s="17">
        <v>1.02517985611511</v>
      </c>
      <c r="AG18" s="17">
        <v>4.6723457919433704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>
        <v>4.2</v>
      </c>
      <c r="BA18" s="17">
        <v>1</v>
      </c>
      <c r="BB18" s="17" t="s">
        <v>448</v>
      </c>
      <c r="BC18" s="17" t="s">
        <v>61</v>
      </c>
      <c r="BD18" s="16"/>
      <c r="BE18" s="17" t="s">
        <v>62</v>
      </c>
      <c r="BF18" s="17" t="s">
        <v>172</v>
      </c>
      <c r="BG18" s="17" t="s">
        <v>449</v>
      </c>
      <c r="BH18" s="16"/>
    </row>
    <row r="19" spans="1:60" ht="56" x14ac:dyDescent="0.15">
      <c r="A19" s="15" t="s">
        <v>82</v>
      </c>
      <c r="B19" s="17">
        <v>17</v>
      </c>
      <c r="C19" s="17">
        <v>17</v>
      </c>
      <c r="D19" s="17">
        <v>0</v>
      </c>
      <c r="E19" s="17">
        <v>1.03237410071942</v>
      </c>
      <c r="F19" s="17">
        <v>1.03965929197147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9</v>
      </c>
      <c r="V19" s="16"/>
      <c r="W19" s="16"/>
      <c r="X19" s="16"/>
      <c r="Y19" s="16"/>
      <c r="Z19" s="17">
        <v>34.926523791160399</v>
      </c>
      <c r="AA19" s="16"/>
      <c r="AB19" s="17">
        <v>34.920056540984703</v>
      </c>
      <c r="AC19" s="17">
        <v>34.926523791160399</v>
      </c>
      <c r="AD19" s="17">
        <v>34.926523791160399</v>
      </c>
      <c r="AE19" s="17">
        <v>35.9684087911155</v>
      </c>
      <c r="AF19" s="17">
        <v>1.03237410071942</v>
      </c>
      <c r="AG19" s="17">
        <v>1.03965929197147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>
        <v>4.2</v>
      </c>
      <c r="BA19" s="17">
        <v>1</v>
      </c>
      <c r="BB19" s="17" t="s">
        <v>448</v>
      </c>
      <c r="BC19" s="17" t="s">
        <v>61</v>
      </c>
      <c r="BD19" s="16"/>
      <c r="BE19" s="17" t="s">
        <v>62</v>
      </c>
      <c r="BF19" s="17" t="s">
        <v>172</v>
      </c>
      <c r="BG19" s="17" t="s">
        <v>449</v>
      </c>
      <c r="BH19" s="16"/>
    </row>
    <row r="20" spans="1:60" ht="56" x14ac:dyDescent="0.15">
      <c r="A20" s="15" t="s">
        <v>75</v>
      </c>
      <c r="B20" s="17">
        <v>18</v>
      </c>
      <c r="C20" s="17">
        <v>18</v>
      </c>
      <c r="D20" s="17">
        <v>0</v>
      </c>
      <c r="E20" s="17">
        <v>1.03237410071942</v>
      </c>
      <c r="F20" s="17">
        <v>0.87255454203113902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7</v>
      </c>
      <c r="V20" s="16"/>
      <c r="W20" s="16"/>
      <c r="X20" s="16"/>
      <c r="Y20" s="16"/>
      <c r="Z20" s="17">
        <v>35.9770203330554</v>
      </c>
      <c r="AA20" s="16"/>
      <c r="AB20" s="17">
        <v>35.9702584161423</v>
      </c>
      <c r="AC20" s="17">
        <v>35.9770203330554</v>
      </c>
      <c r="AD20" s="17">
        <v>35.9770203330554</v>
      </c>
      <c r="AE20" s="17">
        <v>36.851710375165602</v>
      </c>
      <c r="AF20" s="17">
        <v>1.03237410071942</v>
      </c>
      <c r="AG20" s="17">
        <v>0.87255454203113902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>
        <v>4.2</v>
      </c>
      <c r="BA20" s="17">
        <v>1</v>
      </c>
      <c r="BB20" s="17" t="s">
        <v>448</v>
      </c>
      <c r="BC20" s="17" t="s">
        <v>61</v>
      </c>
      <c r="BD20" s="16"/>
      <c r="BE20" s="17" t="s">
        <v>62</v>
      </c>
      <c r="BF20" s="17" t="s">
        <v>172</v>
      </c>
      <c r="BG20" s="17" t="s">
        <v>449</v>
      </c>
      <c r="BH20" s="16"/>
    </row>
    <row r="21" spans="1:60" ht="56" x14ac:dyDescent="0.15">
      <c r="A21" s="15" t="s">
        <v>71</v>
      </c>
      <c r="B21" s="17">
        <v>19</v>
      </c>
      <c r="C21" s="17">
        <v>19</v>
      </c>
      <c r="D21" s="17">
        <v>0</v>
      </c>
      <c r="E21" s="17">
        <v>4.0035971223021596</v>
      </c>
      <c r="F21" s="17">
        <v>2.0893396669998801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19</v>
      </c>
      <c r="V21" s="16"/>
      <c r="W21" s="16"/>
      <c r="X21" s="16"/>
      <c r="Y21" s="16"/>
      <c r="Z21" s="17">
        <v>36.860106333158903</v>
      </c>
      <c r="AA21" s="16"/>
      <c r="AB21" s="17">
        <v>36.853463625069701</v>
      </c>
      <c r="AC21" s="17">
        <v>36.860106333158903</v>
      </c>
      <c r="AD21" s="17">
        <v>36.860106333158903</v>
      </c>
      <c r="AE21" s="17">
        <v>38.951661666156703</v>
      </c>
      <c r="AF21" s="17">
        <v>4.0035971223021596</v>
      </c>
      <c r="AG21" s="17">
        <v>2.0893396669998801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>
        <v>4.2</v>
      </c>
      <c r="BA21" s="17">
        <v>1</v>
      </c>
      <c r="BB21" s="17" t="s">
        <v>448</v>
      </c>
      <c r="BC21" s="17" t="s">
        <v>61</v>
      </c>
      <c r="BD21" s="16"/>
      <c r="BE21" s="17" t="s">
        <v>62</v>
      </c>
      <c r="BF21" s="17" t="s">
        <v>172</v>
      </c>
      <c r="BG21" s="17" t="s">
        <v>449</v>
      </c>
      <c r="BH21" s="16"/>
    </row>
    <row r="22" spans="1:60" ht="56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22" t="s">
        <v>152</v>
      </c>
      <c r="H22" s="22" t="s">
        <v>153</v>
      </c>
      <c r="I22" s="22" t="s">
        <v>96</v>
      </c>
      <c r="J22" s="22" t="s">
        <v>416</v>
      </c>
      <c r="K22" s="17" t="s">
        <v>93</v>
      </c>
      <c r="L22" s="17" t="s">
        <v>93</v>
      </c>
      <c r="M22" s="17" t="s">
        <v>93</v>
      </c>
      <c r="N22" s="17" t="s">
        <v>93</v>
      </c>
      <c r="O22" s="17" t="s">
        <v>93</v>
      </c>
      <c r="P22" s="17" t="s">
        <v>93</v>
      </c>
      <c r="Q22" s="17" t="s">
        <v>93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20</v>
      </c>
      <c r="Z22" s="17">
        <v>38.970257000066297</v>
      </c>
      <c r="AA22" s="16"/>
      <c r="AB22" s="16"/>
      <c r="AC22" s="16"/>
      <c r="AD22" s="16"/>
      <c r="AE22" s="16"/>
      <c r="AF22" s="16"/>
      <c r="AG22" s="16"/>
      <c r="AH22" s="17">
        <v>38.961456208024202</v>
      </c>
      <c r="AI22" s="17">
        <v>38.970257000066297</v>
      </c>
      <c r="AJ22" s="17">
        <v>38.970257000066297</v>
      </c>
      <c r="AK22" s="17">
        <v>38.970257000066297</v>
      </c>
      <c r="AL22" s="17">
        <v>9.7939579281955992E-3</v>
      </c>
      <c r="AM22" s="17">
        <v>48.958682791097097</v>
      </c>
      <c r="AN22" s="17" t="s">
        <v>416</v>
      </c>
      <c r="AO22" s="17" t="s">
        <v>93</v>
      </c>
      <c r="AP22" s="17" t="s">
        <v>93</v>
      </c>
      <c r="AQ22" s="17" t="s">
        <v>93</v>
      </c>
      <c r="AR22" s="17" t="s">
        <v>93</v>
      </c>
      <c r="AS22" s="17" t="s">
        <v>93</v>
      </c>
      <c r="AT22" s="17" t="s">
        <v>93</v>
      </c>
      <c r="AU22" s="17" t="s">
        <v>93</v>
      </c>
      <c r="AV22" s="16"/>
      <c r="AW22" s="16"/>
      <c r="AX22" s="16"/>
      <c r="AY22" s="16"/>
      <c r="AZ22" s="17">
        <v>4.2</v>
      </c>
      <c r="BA22" s="17">
        <v>1</v>
      </c>
      <c r="BB22" s="17" t="s">
        <v>448</v>
      </c>
      <c r="BC22" s="17" t="s">
        <v>61</v>
      </c>
      <c r="BD22" s="16"/>
      <c r="BE22" s="17" t="s">
        <v>62</v>
      </c>
      <c r="BF22" s="17" t="s">
        <v>172</v>
      </c>
      <c r="BG22" s="17" t="s">
        <v>449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22" t="s">
        <v>106</v>
      </c>
      <c r="H23" s="22" t="s">
        <v>107</v>
      </c>
      <c r="I23" s="22" t="s">
        <v>96</v>
      </c>
      <c r="J23" s="22" t="s">
        <v>450</v>
      </c>
      <c r="K23" s="17" t="s">
        <v>93</v>
      </c>
      <c r="L23" s="17" t="s">
        <v>93</v>
      </c>
      <c r="M23" s="17" t="s">
        <v>93</v>
      </c>
      <c r="N23" s="17" t="s">
        <v>93</v>
      </c>
      <c r="O23" s="17" t="s">
        <v>93</v>
      </c>
      <c r="P23" s="17" t="s">
        <v>93</v>
      </c>
      <c r="Q23" s="17" t="s">
        <v>93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23</v>
      </c>
      <c r="Z23" s="17">
        <v>48.970651500159903</v>
      </c>
      <c r="AA23" s="16"/>
      <c r="AB23" s="16"/>
      <c r="AC23" s="16"/>
      <c r="AD23" s="16"/>
      <c r="AE23" s="16"/>
      <c r="AF23" s="16"/>
      <c r="AG23" s="16"/>
      <c r="AH23" s="17">
        <v>48.960825958056397</v>
      </c>
      <c r="AI23" s="17">
        <v>48.970651500159903</v>
      </c>
      <c r="AJ23" s="17">
        <v>48.970651500159903</v>
      </c>
      <c r="AK23" s="17">
        <v>48.970651500159903</v>
      </c>
      <c r="AL23" s="17">
        <v>9.1685829684138298E-3</v>
      </c>
      <c r="AM23" s="17">
        <v>58.958599250065198</v>
      </c>
      <c r="AN23" s="17" t="s">
        <v>450</v>
      </c>
      <c r="AO23" s="17" t="s">
        <v>93</v>
      </c>
      <c r="AP23" s="17" t="s">
        <v>93</v>
      </c>
      <c r="AQ23" s="17" t="s">
        <v>93</v>
      </c>
      <c r="AR23" s="17" t="s">
        <v>93</v>
      </c>
      <c r="AS23" s="17" t="s">
        <v>93</v>
      </c>
      <c r="AT23" s="17" t="s">
        <v>93</v>
      </c>
      <c r="AU23" s="17" t="s">
        <v>93</v>
      </c>
      <c r="AV23" s="16"/>
      <c r="AW23" s="16"/>
      <c r="AX23" s="16"/>
      <c r="AY23" s="16"/>
      <c r="AZ23" s="17">
        <v>4.2</v>
      </c>
      <c r="BA23" s="17">
        <v>1</v>
      </c>
      <c r="BB23" s="17" t="s">
        <v>448</v>
      </c>
      <c r="BC23" s="17" t="s">
        <v>61</v>
      </c>
      <c r="BD23" s="16"/>
      <c r="BE23" s="17" t="s">
        <v>62</v>
      </c>
      <c r="BF23" s="17" t="s">
        <v>172</v>
      </c>
      <c r="BG23" s="17" t="s">
        <v>449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129</v>
      </c>
      <c r="H24" s="22" t="s">
        <v>72</v>
      </c>
      <c r="I24" s="22" t="s">
        <v>84</v>
      </c>
      <c r="J24" s="22" t="s">
        <v>451</v>
      </c>
      <c r="K24" s="17" t="s">
        <v>93</v>
      </c>
      <c r="L24" s="17" t="s">
        <v>93</v>
      </c>
      <c r="M24" s="17" t="s">
        <v>93</v>
      </c>
      <c r="N24" s="17" t="s">
        <v>93</v>
      </c>
      <c r="O24" s="17" t="s">
        <v>93</v>
      </c>
      <c r="P24" s="17" t="s">
        <v>93</v>
      </c>
      <c r="Q24" s="17" t="s">
        <v>93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0</v>
      </c>
      <c r="Z24" s="17">
        <v>58.970274083083503</v>
      </c>
      <c r="AA24" s="16"/>
      <c r="AB24" s="16"/>
      <c r="AC24" s="16"/>
      <c r="AD24" s="16"/>
      <c r="AE24" s="16"/>
      <c r="AF24" s="16"/>
      <c r="AG24" s="16"/>
      <c r="AH24" s="17">
        <v>58.9606702080928</v>
      </c>
      <c r="AI24" s="17">
        <v>58.970274083083503</v>
      </c>
      <c r="AJ24" s="17">
        <v>58.970274083083503</v>
      </c>
      <c r="AK24" s="17">
        <v>58.970274083083503</v>
      </c>
      <c r="AL24" s="17">
        <v>9.0109999291598797E-3</v>
      </c>
      <c r="AM24" s="17">
        <v>68.958644583122805</v>
      </c>
      <c r="AN24" s="17" t="s">
        <v>451</v>
      </c>
      <c r="AO24" s="17" t="s">
        <v>93</v>
      </c>
      <c r="AP24" s="17" t="s">
        <v>93</v>
      </c>
      <c r="AQ24" s="17" t="s">
        <v>93</v>
      </c>
      <c r="AR24" s="17" t="s">
        <v>93</v>
      </c>
      <c r="AS24" s="17" t="s">
        <v>93</v>
      </c>
      <c r="AT24" s="17" t="s">
        <v>93</v>
      </c>
      <c r="AU24" s="17" t="s">
        <v>93</v>
      </c>
      <c r="AV24" s="16"/>
      <c r="AW24" s="16"/>
      <c r="AX24" s="16"/>
      <c r="AY24" s="16"/>
      <c r="AZ24" s="17">
        <v>4.2</v>
      </c>
      <c r="BA24" s="17">
        <v>1</v>
      </c>
      <c r="BB24" s="17" t="s">
        <v>448</v>
      </c>
      <c r="BC24" s="17" t="s">
        <v>61</v>
      </c>
      <c r="BD24" s="16"/>
      <c r="BE24" s="17" t="s">
        <v>62</v>
      </c>
      <c r="BF24" s="17" t="s">
        <v>172</v>
      </c>
      <c r="BG24" s="17" t="s">
        <v>449</v>
      </c>
      <c r="BH24" s="16"/>
    </row>
    <row r="25" spans="1:60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22" t="s">
        <v>148</v>
      </c>
      <c r="H25" s="22" t="s">
        <v>74</v>
      </c>
      <c r="I25" s="22" t="s">
        <v>84</v>
      </c>
      <c r="J25" s="22" t="s">
        <v>452</v>
      </c>
      <c r="K25" s="17" t="s">
        <v>453</v>
      </c>
      <c r="L25" s="17" t="s">
        <v>454</v>
      </c>
      <c r="M25" s="17" t="s">
        <v>87</v>
      </c>
      <c r="N25" s="17" t="s">
        <v>88</v>
      </c>
      <c r="O25" s="17" t="s">
        <v>88</v>
      </c>
      <c r="P25" s="17" t="s">
        <v>455</v>
      </c>
      <c r="Q25" s="17" t="s">
        <v>303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13</v>
      </c>
      <c r="Z25" s="17">
        <v>68.9712591660209</v>
      </c>
      <c r="AA25" s="16"/>
      <c r="AB25" s="16"/>
      <c r="AC25" s="16"/>
      <c r="AD25" s="16"/>
      <c r="AE25" s="16"/>
      <c r="AF25" s="16"/>
      <c r="AG25" s="16"/>
      <c r="AH25" s="17">
        <v>68.961106375092598</v>
      </c>
      <c r="AI25" s="17">
        <v>68.9712591660209</v>
      </c>
      <c r="AJ25" s="17">
        <v>68.9712591660209</v>
      </c>
      <c r="AK25" s="17">
        <v>68.9712591660209</v>
      </c>
      <c r="AL25" s="17">
        <v>9.4508330803364498E-3</v>
      </c>
      <c r="AM25" s="17">
        <v>78.958953000139502</v>
      </c>
      <c r="AN25" s="17" t="s">
        <v>452</v>
      </c>
      <c r="AO25" s="17" t="s">
        <v>453</v>
      </c>
      <c r="AP25" s="17" t="s">
        <v>454</v>
      </c>
      <c r="AQ25" s="17" t="s">
        <v>87</v>
      </c>
      <c r="AR25" s="17" t="s">
        <v>88</v>
      </c>
      <c r="AS25" s="17" t="s">
        <v>88</v>
      </c>
      <c r="AT25" s="17" t="s">
        <v>455</v>
      </c>
      <c r="AU25" s="17" t="s">
        <v>303</v>
      </c>
      <c r="AV25" s="16"/>
      <c r="AW25" s="16"/>
      <c r="AX25" s="16"/>
      <c r="AY25" s="16"/>
      <c r="AZ25" s="17">
        <v>4.2</v>
      </c>
      <c r="BA25" s="17">
        <v>1</v>
      </c>
      <c r="BB25" s="17" t="s">
        <v>448</v>
      </c>
      <c r="BC25" s="17" t="s">
        <v>61</v>
      </c>
      <c r="BD25" s="16"/>
      <c r="BE25" s="17" t="s">
        <v>62</v>
      </c>
      <c r="BF25" s="17" t="s">
        <v>172</v>
      </c>
      <c r="BG25" s="17" t="s">
        <v>449</v>
      </c>
      <c r="BH25" s="16"/>
    </row>
    <row r="26" spans="1:60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22" t="s">
        <v>133</v>
      </c>
      <c r="H26" s="22" t="s">
        <v>64</v>
      </c>
      <c r="I26" s="22" t="s">
        <v>84</v>
      </c>
      <c r="J26" s="22" t="s">
        <v>456</v>
      </c>
      <c r="K26" s="17" t="s">
        <v>93</v>
      </c>
      <c r="L26" s="17" t="s">
        <v>93</v>
      </c>
      <c r="M26" s="17" t="s">
        <v>93</v>
      </c>
      <c r="N26" s="17" t="s">
        <v>93</v>
      </c>
      <c r="O26" s="17" t="s">
        <v>93</v>
      </c>
      <c r="P26" s="17" t="s">
        <v>93</v>
      </c>
      <c r="Q26" s="17" t="s">
        <v>93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18</v>
      </c>
      <c r="Z26" s="17">
        <v>78.971209082985297</v>
      </c>
      <c r="AA26" s="16"/>
      <c r="AB26" s="16"/>
      <c r="AC26" s="16"/>
      <c r="AD26" s="16"/>
      <c r="AE26" s="16"/>
      <c r="AF26" s="16"/>
      <c r="AG26" s="16"/>
      <c r="AH26" s="17">
        <v>78.961576208006605</v>
      </c>
      <c r="AI26" s="17">
        <v>78.971209082985297</v>
      </c>
      <c r="AJ26" s="17">
        <v>78.971209082985297</v>
      </c>
      <c r="AK26" s="17">
        <v>78.971209082985297</v>
      </c>
      <c r="AL26" s="17">
        <v>9.91449994035065E-3</v>
      </c>
      <c r="AM26" s="17">
        <v>88.958904750179499</v>
      </c>
      <c r="AN26" s="17" t="s">
        <v>456</v>
      </c>
      <c r="AO26" s="17" t="s">
        <v>93</v>
      </c>
      <c r="AP26" s="17" t="s">
        <v>93</v>
      </c>
      <c r="AQ26" s="17" t="s">
        <v>93</v>
      </c>
      <c r="AR26" s="17" t="s">
        <v>93</v>
      </c>
      <c r="AS26" s="17" t="s">
        <v>93</v>
      </c>
      <c r="AT26" s="17" t="s">
        <v>93</v>
      </c>
      <c r="AU26" s="17" t="s">
        <v>93</v>
      </c>
      <c r="AV26" s="16"/>
      <c r="AW26" s="16"/>
      <c r="AX26" s="16"/>
      <c r="AY26" s="16"/>
      <c r="AZ26" s="17">
        <v>4.2</v>
      </c>
      <c r="BA26" s="17">
        <v>1</v>
      </c>
      <c r="BB26" s="17" t="s">
        <v>448</v>
      </c>
      <c r="BC26" s="17" t="s">
        <v>61</v>
      </c>
      <c r="BD26" s="16"/>
      <c r="BE26" s="17" t="s">
        <v>62</v>
      </c>
      <c r="BF26" s="17" t="s">
        <v>172</v>
      </c>
      <c r="BG26" s="17" t="s">
        <v>449</v>
      </c>
      <c r="BH26" s="16"/>
    </row>
    <row r="27" spans="1:60" ht="154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22" t="s">
        <v>120</v>
      </c>
      <c r="H27" s="22" t="s">
        <v>121</v>
      </c>
      <c r="I27" s="22" t="s">
        <v>96</v>
      </c>
      <c r="J27" s="22" t="s">
        <v>457</v>
      </c>
      <c r="K27" s="17" t="s">
        <v>458</v>
      </c>
      <c r="L27" s="17" t="s">
        <v>459</v>
      </c>
      <c r="M27" s="17" t="s">
        <v>206</v>
      </c>
      <c r="N27" s="17" t="s">
        <v>207</v>
      </c>
      <c r="O27" s="17" t="s">
        <v>207</v>
      </c>
      <c r="P27" s="17" t="s">
        <v>460</v>
      </c>
      <c r="Q27" s="17" t="s">
        <v>209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24</v>
      </c>
      <c r="Z27" s="17">
        <v>88.971555916126803</v>
      </c>
      <c r="AA27" s="16"/>
      <c r="AB27" s="16"/>
      <c r="AC27" s="16"/>
      <c r="AD27" s="16"/>
      <c r="AE27" s="16"/>
      <c r="AF27" s="16"/>
      <c r="AG27" s="16"/>
      <c r="AH27" s="17">
        <v>88.961290375096695</v>
      </c>
      <c r="AI27" s="17">
        <v>88.971555916126803</v>
      </c>
      <c r="AJ27" s="17">
        <v>88.971555916126803</v>
      </c>
      <c r="AK27" s="17">
        <v>88.971555916126803</v>
      </c>
      <c r="AL27" s="17">
        <v>9.6354170236736501E-3</v>
      </c>
      <c r="AM27" s="17">
        <v>97.974514291156098</v>
      </c>
      <c r="AN27" s="17" t="s">
        <v>457</v>
      </c>
      <c r="AO27" s="17" t="s">
        <v>458</v>
      </c>
      <c r="AP27" s="17" t="s">
        <v>459</v>
      </c>
      <c r="AQ27" s="17" t="s">
        <v>206</v>
      </c>
      <c r="AR27" s="17" t="s">
        <v>207</v>
      </c>
      <c r="AS27" s="17" t="s">
        <v>207</v>
      </c>
      <c r="AT27" s="17" t="s">
        <v>460</v>
      </c>
      <c r="AU27" s="17" t="s">
        <v>209</v>
      </c>
      <c r="AV27" s="16"/>
      <c r="AW27" s="16"/>
      <c r="AX27" s="16"/>
      <c r="AY27" s="16"/>
      <c r="AZ27" s="17">
        <v>4.2</v>
      </c>
      <c r="BA27" s="17">
        <v>1</v>
      </c>
      <c r="BB27" s="17" t="s">
        <v>448</v>
      </c>
      <c r="BC27" s="17" t="s">
        <v>61</v>
      </c>
      <c r="BD27" s="16"/>
      <c r="BE27" s="17" t="s">
        <v>62</v>
      </c>
      <c r="BF27" s="17" t="s">
        <v>172</v>
      </c>
      <c r="BG27" s="17" t="s">
        <v>449</v>
      </c>
      <c r="BH27" s="16"/>
    </row>
    <row r="28" spans="1:60" ht="84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17" t="s">
        <v>94</v>
      </c>
      <c r="H28" s="17" t="s">
        <v>95</v>
      </c>
      <c r="I28" s="17" t="s">
        <v>96</v>
      </c>
      <c r="J28" s="17" t="s">
        <v>95</v>
      </c>
      <c r="K28" s="17" t="s">
        <v>461</v>
      </c>
      <c r="L28" s="17" t="s">
        <v>462</v>
      </c>
      <c r="M28" s="17" t="s">
        <v>110</v>
      </c>
      <c r="N28" s="17" t="s">
        <v>111</v>
      </c>
      <c r="O28" s="17" t="s">
        <v>111</v>
      </c>
      <c r="P28" s="17" t="s">
        <v>463</v>
      </c>
      <c r="Q28" s="17" t="s">
        <v>113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22</v>
      </c>
      <c r="Z28" s="17">
        <v>97.984438541112496</v>
      </c>
      <c r="AA28" s="16"/>
      <c r="AB28" s="16"/>
      <c r="AC28" s="16"/>
      <c r="AD28" s="16"/>
      <c r="AE28" s="16"/>
      <c r="AF28" s="16"/>
      <c r="AG28" s="16"/>
      <c r="AH28" s="17">
        <v>97.976073125144495</v>
      </c>
      <c r="AI28" s="17">
        <v>97.984438541112496</v>
      </c>
      <c r="AJ28" s="17">
        <v>97.984438541112496</v>
      </c>
      <c r="AK28" s="17">
        <v>97.984438541112496</v>
      </c>
      <c r="AL28" s="17">
        <v>1.4584169257432201E-3</v>
      </c>
      <c r="AM28" s="17">
        <v>103.110001082998</v>
      </c>
      <c r="AN28" s="17" t="s">
        <v>95</v>
      </c>
      <c r="AO28" s="17" t="s">
        <v>461</v>
      </c>
      <c r="AP28" s="17" t="s">
        <v>462</v>
      </c>
      <c r="AQ28" s="17" t="s">
        <v>110</v>
      </c>
      <c r="AR28" s="17" t="s">
        <v>111</v>
      </c>
      <c r="AS28" s="17" t="s">
        <v>111</v>
      </c>
      <c r="AT28" s="17" t="s">
        <v>463</v>
      </c>
      <c r="AU28" s="17" t="s">
        <v>113</v>
      </c>
      <c r="AV28" s="16"/>
      <c r="AW28" s="16"/>
      <c r="AX28" s="16"/>
      <c r="AY28" s="16"/>
      <c r="AZ28" s="17">
        <v>4.2</v>
      </c>
      <c r="BA28" s="17">
        <v>1</v>
      </c>
      <c r="BB28" s="17" t="s">
        <v>448</v>
      </c>
      <c r="BC28" s="17" t="s">
        <v>61</v>
      </c>
      <c r="BD28" s="16"/>
      <c r="BE28" s="17" t="s">
        <v>62</v>
      </c>
      <c r="BF28" s="17" t="s">
        <v>172</v>
      </c>
      <c r="BG28" s="17" t="s">
        <v>449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17" t="s">
        <v>142</v>
      </c>
      <c r="H29" s="17" t="s">
        <v>67</v>
      </c>
      <c r="I29" s="17" t="s">
        <v>84</v>
      </c>
      <c r="J29" s="17" t="s">
        <v>67</v>
      </c>
      <c r="K29" s="17" t="s">
        <v>464</v>
      </c>
      <c r="L29" s="17" t="s">
        <v>150</v>
      </c>
      <c r="M29" s="17" t="s">
        <v>87</v>
      </c>
      <c r="N29" s="17" t="s">
        <v>88</v>
      </c>
      <c r="O29" s="17" t="s">
        <v>88</v>
      </c>
      <c r="P29" s="17" t="s">
        <v>465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16</v>
      </c>
      <c r="Z29" s="17">
        <v>103.121311541181</v>
      </c>
      <c r="AA29" s="16"/>
      <c r="AB29" s="16"/>
      <c r="AC29" s="16"/>
      <c r="AD29" s="16"/>
      <c r="AE29" s="16"/>
      <c r="AF29" s="16"/>
      <c r="AG29" s="16"/>
      <c r="AH29" s="17">
        <v>103.112135833129</v>
      </c>
      <c r="AI29" s="17">
        <v>103.121311541181</v>
      </c>
      <c r="AJ29" s="17">
        <v>103.121311541181</v>
      </c>
      <c r="AK29" s="17">
        <v>103.121311541181</v>
      </c>
      <c r="AL29" s="17">
        <v>2.0352080464363098E-3</v>
      </c>
      <c r="AM29" s="17">
        <v>110.326068416005</v>
      </c>
      <c r="AN29" s="17" t="s">
        <v>67</v>
      </c>
      <c r="AO29" s="17" t="s">
        <v>464</v>
      </c>
      <c r="AP29" s="17" t="s">
        <v>150</v>
      </c>
      <c r="AQ29" s="17" t="s">
        <v>87</v>
      </c>
      <c r="AR29" s="17" t="s">
        <v>88</v>
      </c>
      <c r="AS29" s="17" t="s">
        <v>88</v>
      </c>
      <c r="AT29" s="17" t="s">
        <v>465</v>
      </c>
      <c r="AU29" s="17" t="s">
        <v>90</v>
      </c>
      <c r="AV29" s="16"/>
      <c r="AW29" s="16"/>
      <c r="AX29" s="16"/>
      <c r="AY29" s="16"/>
      <c r="AZ29" s="17">
        <v>4.2</v>
      </c>
      <c r="BA29" s="17">
        <v>1</v>
      </c>
      <c r="BB29" s="17" t="s">
        <v>448</v>
      </c>
      <c r="BC29" s="17" t="s">
        <v>61</v>
      </c>
      <c r="BD29" s="16"/>
      <c r="BE29" s="17" t="s">
        <v>62</v>
      </c>
      <c r="BF29" s="17" t="s">
        <v>172</v>
      </c>
      <c r="BG29" s="17" t="s">
        <v>449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22" t="s">
        <v>125</v>
      </c>
      <c r="H30" s="22" t="s">
        <v>65</v>
      </c>
      <c r="I30" s="22" t="s">
        <v>84</v>
      </c>
      <c r="J30" s="22" t="s">
        <v>466</v>
      </c>
      <c r="K30" s="17" t="s">
        <v>93</v>
      </c>
      <c r="L30" s="17" t="s">
        <v>93</v>
      </c>
      <c r="M30" s="17" t="s">
        <v>93</v>
      </c>
      <c r="N30" s="17" t="s">
        <v>93</v>
      </c>
      <c r="O30" s="17" t="s">
        <v>93</v>
      </c>
      <c r="P30" s="17" t="s">
        <v>93</v>
      </c>
      <c r="Q30" s="17" t="s">
        <v>93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11</v>
      </c>
      <c r="Z30" s="17">
        <v>110.337088541128</v>
      </c>
      <c r="AA30" s="16"/>
      <c r="AB30" s="16"/>
      <c r="AC30" s="16"/>
      <c r="AD30" s="16"/>
      <c r="AE30" s="16"/>
      <c r="AF30" s="16"/>
      <c r="AG30" s="16"/>
      <c r="AH30" s="17">
        <v>110.32794145797401</v>
      </c>
      <c r="AI30" s="17">
        <v>110.337088541128</v>
      </c>
      <c r="AJ30" s="17">
        <v>110.337088541128</v>
      </c>
      <c r="AK30" s="17">
        <v>110.337088541128</v>
      </c>
      <c r="AL30" s="17">
        <v>1.79054192267358E-3</v>
      </c>
      <c r="AM30" s="17">
        <v>120.32525129104</v>
      </c>
      <c r="AN30" s="17" t="s">
        <v>466</v>
      </c>
      <c r="AO30" s="17" t="s">
        <v>93</v>
      </c>
      <c r="AP30" s="17" t="s">
        <v>93</v>
      </c>
      <c r="AQ30" s="17" t="s">
        <v>93</v>
      </c>
      <c r="AR30" s="17" t="s">
        <v>93</v>
      </c>
      <c r="AS30" s="17" t="s">
        <v>93</v>
      </c>
      <c r="AT30" s="17" t="s">
        <v>93</v>
      </c>
      <c r="AU30" s="17" t="s">
        <v>93</v>
      </c>
      <c r="AV30" s="17">
        <v>120.35166925005601</v>
      </c>
      <c r="AW30" s="17">
        <v>120.35166925005601</v>
      </c>
      <c r="AX30" s="17">
        <v>120.35166925005601</v>
      </c>
      <c r="AY30" s="17">
        <v>9.9989111670292896</v>
      </c>
      <c r="AZ30" s="17">
        <v>4.2</v>
      </c>
      <c r="BA30" s="17">
        <v>1</v>
      </c>
      <c r="BB30" s="17" t="s">
        <v>448</v>
      </c>
      <c r="BC30" s="17" t="s">
        <v>61</v>
      </c>
      <c r="BD30" s="16"/>
      <c r="BE30" s="17" t="s">
        <v>62</v>
      </c>
      <c r="BF30" s="17" t="s">
        <v>172</v>
      </c>
      <c r="BG30" s="17" t="s">
        <v>449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22" t="s">
        <v>144</v>
      </c>
      <c r="H31" s="22" t="s">
        <v>81</v>
      </c>
      <c r="I31" s="22" t="s">
        <v>84</v>
      </c>
      <c r="J31" s="23"/>
      <c r="K31" s="17" t="s">
        <v>467</v>
      </c>
      <c r="L31" s="17" t="s">
        <v>343</v>
      </c>
      <c r="M31" s="17" t="s">
        <v>87</v>
      </c>
      <c r="N31" s="17" t="s">
        <v>88</v>
      </c>
      <c r="O31" s="17" t="s">
        <v>88</v>
      </c>
      <c r="P31" s="17" t="s">
        <v>468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4</v>
      </c>
      <c r="Z31" s="17">
        <v>120.35166925005601</v>
      </c>
      <c r="AA31" s="16"/>
      <c r="AB31" s="16"/>
      <c r="AC31" s="16"/>
      <c r="AD31" s="16"/>
      <c r="AE31" s="16"/>
      <c r="AF31" s="16"/>
      <c r="AG31" s="16"/>
      <c r="AH31" s="17">
        <v>120.327311082976</v>
      </c>
      <c r="AI31" s="17">
        <v>120.35166925005601</v>
      </c>
      <c r="AJ31" s="17">
        <v>120.35166925005601</v>
      </c>
      <c r="AK31" s="17">
        <v>120.35166925005601</v>
      </c>
      <c r="AL31" s="17">
        <v>1.1697919107973599E-3</v>
      </c>
      <c r="AM31" s="17">
        <v>120.42593279108399</v>
      </c>
      <c r="AN31" s="16"/>
      <c r="AO31" s="17" t="s">
        <v>467</v>
      </c>
      <c r="AP31" s="17" t="s">
        <v>343</v>
      </c>
      <c r="AQ31" s="17" t="s">
        <v>87</v>
      </c>
      <c r="AR31" s="17" t="s">
        <v>88</v>
      </c>
      <c r="AS31" s="17" t="s">
        <v>88</v>
      </c>
      <c r="AT31" s="17" t="s">
        <v>468</v>
      </c>
      <c r="AU31" s="17" t="s">
        <v>90</v>
      </c>
      <c r="AV31" s="16"/>
      <c r="AW31" s="16"/>
      <c r="AX31" s="16"/>
      <c r="AY31" s="16"/>
      <c r="AZ31" s="17">
        <v>4.2</v>
      </c>
      <c r="BA31" s="17">
        <v>1</v>
      </c>
      <c r="BB31" s="17" t="s">
        <v>448</v>
      </c>
      <c r="BC31" s="17" t="s">
        <v>61</v>
      </c>
      <c r="BD31" s="16"/>
      <c r="BE31" s="17" t="s">
        <v>62</v>
      </c>
      <c r="BF31" s="17" t="s">
        <v>172</v>
      </c>
      <c r="BG31" s="17" t="s">
        <v>449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22" t="s">
        <v>160</v>
      </c>
      <c r="H32" s="22" t="s">
        <v>79</v>
      </c>
      <c r="I32" s="22" t="s">
        <v>84</v>
      </c>
      <c r="J32" s="22" t="s">
        <v>469</v>
      </c>
      <c r="K32" s="17" t="s">
        <v>93</v>
      </c>
      <c r="L32" s="17" t="s">
        <v>93</v>
      </c>
      <c r="M32" s="17" t="s">
        <v>93</v>
      </c>
      <c r="N32" s="17" t="s">
        <v>93</v>
      </c>
      <c r="O32" s="17" t="s">
        <v>93</v>
      </c>
      <c r="P32" s="17" t="s">
        <v>93</v>
      </c>
      <c r="Q32" s="17" t="s">
        <v>93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3</v>
      </c>
      <c r="Z32" s="17">
        <v>120.434558833018</v>
      </c>
      <c r="AA32" s="16"/>
      <c r="AB32" s="16"/>
      <c r="AC32" s="16"/>
      <c r="AD32" s="16"/>
      <c r="AE32" s="16"/>
      <c r="AF32" s="16"/>
      <c r="AG32" s="16"/>
      <c r="AH32" s="17">
        <v>120.427359499969</v>
      </c>
      <c r="AI32" s="17">
        <v>120.434558833018</v>
      </c>
      <c r="AJ32" s="17">
        <v>120.434558833018</v>
      </c>
      <c r="AK32" s="17">
        <v>120.434558833018</v>
      </c>
      <c r="AL32" s="17">
        <v>1.3576669152826099E-3</v>
      </c>
      <c r="AM32" s="17">
        <v>130.417948041111</v>
      </c>
      <c r="AN32" s="17" t="s">
        <v>469</v>
      </c>
      <c r="AO32" s="17" t="s">
        <v>93</v>
      </c>
      <c r="AP32" s="17" t="s">
        <v>93</v>
      </c>
      <c r="AQ32" s="17" t="s">
        <v>93</v>
      </c>
      <c r="AR32" s="17" t="s">
        <v>93</v>
      </c>
      <c r="AS32" s="17" t="s">
        <v>93</v>
      </c>
      <c r="AT32" s="17" t="s">
        <v>93</v>
      </c>
      <c r="AU32" s="17" t="s">
        <v>93</v>
      </c>
      <c r="AV32" s="17">
        <v>130.42968800012</v>
      </c>
      <c r="AW32" s="17">
        <v>130.42968800012</v>
      </c>
      <c r="AX32" s="17">
        <v>130.42968800012</v>
      </c>
      <c r="AY32" s="17">
        <v>9.9917565840296501</v>
      </c>
      <c r="AZ32" s="17">
        <v>4.2</v>
      </c>
      <c r="BA32" s="17">
        <v>1</v>
      </c>
      <c r="BB32" s="17" t="s">
        <v>448</v>
      </c>
      <c r="BC32" s="17" t="s">
        <v>61</v>
      </c>
      <c r="BD32" s="16"/>
      <c r="BE32" s="17" t="s">
        <v>62</v>
      </c>
      <c r="BF32" s="17" t="s">
        <v>172</v>
      </c>
      <c r="BG32" s="17" t="s">
        <v>449</v>
      </c>
      <c r="BH32" s="16"/>
    </row>
    <row r="33" spans="1:60" ht="182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17" t="s">
        <v>167</v>
      </c>
      <c r="H33" s="17" t="s">
        <v>59</v>
      </c>
      <c r="I33" s="17" t="s">
        <v>84</v>
      </c>
      <c r="J33" s="17" t="s">
        <v>59</v>
      </c>
      <c r="K33" s="17" t="s">
        <v>470</v>
      </c>
      <c r="L33" s="17" t="s">
        <v>471</v>
      </c>
      <c r="M33" s="17" t="s">
        <v>423</v>
      </c>
      <c r="N33" s="17" t="s">
        <v>424</v>
      </c>
      <c r="O33" s="17" t="s">
        <v>424</v>
      </c>
      <c r="P33" s="17" t="s">
        <v>472</v>
      </c>
      <c r="Q33" s="17" t="s">
        <v>426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12</v>
      </c>
      <c r="Z33" s="17">
        <v>130.42968800012</v>
      </c>
      <c r="AA33" s="16"/>
      <c r="AB33" s="16"/>
      <c r="AC33" s="16"/>
      <c r="AD33" s="16"/>
      <c r="AE33" s="16"/>
      <c r="AF33" s="16"/>
      <c r="AG33" s="16"/>
      <c r="AH33" s="17">
        <v>130.420745750191</v>
      </c>
      <c r="AI33" s="17">
        <v>130.42968800012</v>
      </c>
      <c r="AJ33" s="17">
        <v>130.42968800012</v>
      </c>
      <c r="AK33" s="17">
        <v>130.42968800012</v>
      </c>
      <c r="AL33" s="17">
        <v>3.7518339231610298E-3</v>
      </c>
      <c r="AM33" s="17">
        <v>135.17649254109699</v>
      </c>
      <c r="AN33" s="17" t="s">
        <v>59</v>
      </c>
      <c r="AO33" s="17" t="s">
        <v>470</v>
      </c>
      <c r="AP33" s="17" t="s">
        <v>471</v>
      </c>
      <c r="AQ33" s="17" t="s">
        <v>423</v>
      </c>
      <c r="AR33" s="17" t="s">
        <v>424</v>
      </c>
      <c r="AS33" s="17" t="s">
        <v>424</v>
      </c>
      <c r="AT33" s="17" t="s">
        <v>472</v>
      </c>
      <c r="AU33" s="17" t="s">
        <v>426</v>
      </c>
      <c r="AV33" s="16"/>
      <c r="AW33" s="16"/>
      <c r="AX33" s="16"/>
      <c r="AY33" s="16"/>
      <c r="AZ33" s="17">
        <v>4.2</v>
      </c>
      <c r="BA33" s="17">
        <v>1</v>
      </c>
      <c r="BB33" s="17" t="s">
        <v>448</v>
      </c>
      <c r="BC33" s="17" t="s">
        <v>61</v>
      </c>
      <c r="BD33" s="16"/>
      <c r="BE33" s="17" t="s">
        <v>62</v>
      </c>
      <c r="BF33" s="17" t="s">
        <v>172</v>
      </c>
      <c r="BG33" s="17" t="s">
        <v>449</v>
      </c>
      <c r="BH33" s="16"/>
    </row>
    <row r="34" spans="1:60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22" t="s">
        <v>100</v>
      </c>
      <c r="H34" s="22" t="s">
        <v>68</v>
      </c>
      <c r="I34" s="22" t="s">
        <v>84</v>
      </c>
      <c r="J34" s="22" t="s">
        <v>473</v>
      </c>
      <c r="K34" s="17" t="s">
        <v>474</v>
      </c>
      <c r="L34" s="17" t="s">
        <v>162</v>
      </c>
      <c r="M34" s="17" t="s">
        <v>87</v>
      </c>
      <c r="N34" s="17" t="s">
        <v>88</v>
      </c>
      <c r="O34" s="17" t="s">
        <v>88</v>
      </c>
      <c r="P34" s="17" t="s">
        <v>475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17</v>
      </c>
      <c r="Z34" s="17">
        <v>135.18856841605199</v>
      </c>
      <c r="AA34" s="16"/>
      <c r="AB34" s="16"/>
      <c r="AC34" s="16"/>
      <c r="AD34" s="16"/>
      <c r="AE34" s="16"/>
      <c r="AF34" s="16"/>
      <c r="AG34" s="16"/>
      <c r="AH34" s="17">
        <v>135.179000833072</v>
      </c>
      <c r="AI34" s="17">
        <v>135.18856841605199</v>
      </c>
      <c r="AJ34" s="17">
        <v>135.18856841605199</v>
      </c>
      <c r="AK34" s="17">
        <v>135.18856841605199</v>
      </c>
      <c r="AL34" s="17">
        <v>2.3602081928402198E-3</v>
      </c>
      <c r="AM34" s="17">
        <v>140.42737404117401</v>
      </c>
      <c r="AN34" s="17" t="s">
        <v>473</v>
      </c>
      <c r="AO34" s="17" t="s">
        <v>474</v>
      </c>
      <c r="AP34" s="17" t="s">
        <v>162</v>
      </c>
      <c r="AQ34" s="17" t="s">
        <v>87</v>
      </c>
      <c r="AR34" s="17" t="s">
        <v>88</v>
      </c>
      <c r="AS34" s="17" t="s">
        <v>88</v>
      </c>
      <c r="AT34" s="17" t="s">
        <v>475</v>
      </c>
      <c r="AU34" s="17" t="s">
        <v>90</v>
      </c>
      <c r="AV34" s="16"/>
      <c r="AW34" s="16"/>
      <c r="AX34" s="16"/>
      <c r="AY34" s="16"/>
      <c r="AZ34" s="17">
        <v>4.2</v>
      </c>
      <c r="BA34" s="17">
        <v>1</v>
      </c>
      <c r="BB34" s="17" t="s">
        <v>448</v>
      </c>
      <c r="BC34" s="17" t="s">
        <v>61</v>
      </c>
      <c r="BD34" s="16"/>
      <c r="BE34" s="17" t="s">
        <v>62</v>
      </c>
      <c r="BF34" s="17" t="s">
        <v>172</v>
      </c>
      <c r="BG34" s="17" t="s">
        <v>449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164</v>
      </c>
      <c r="H35" s="22" t="s">
        <v>80</v>
      </c>
      <c r="I35" s="22" t="s">
        <v>84</v>
      </c>
      <c r="J35" s="23"/>
      <c r="K35" s="17" t="s">
        <v>93</v>
      </c>
      <c r="L35" s="17" t="s">
        <v>93</v>
      </c>
      <c r="M35" s="17" t="s">
        <v>93</v>
      </c>
      <c r="N35" s="17" t="s">
        <v>93</v>
      </c>
      <c r="O35" s="17" t="s">
        <v>93</v>
      </c>
      <c r="P35" s="17" t="s">
        <v>93</v>
      </c>
      <c r="Q35" s="17" t="s">
        <v>93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15</v>
      </c>
      <c r="Z35" s="17">
        <v>140.43811912508701</v>
      </c>
      <c r="AA35" s="16"/>
      <c r="AB35" s="16"/>
      <c r="AC35" s="16"/>
      <c r="AD35" s="16"/>
      <c r="AE35" s="16"/>
      <c r="AF35" s="16"/>
      <c r="AG35" s="16"/>
      <c r="AH35" s="17">
        <v>140.42949820798799</v>
      </c>
      <c r="AI35" s="17">
        <v>140.43811912508701</v>
      </c>
      <c r="AJ35" s="17">
        <v>140.43811912508701</v>
      </c>
      <c r="AK35" s="17">
        <v>140.43811912508701</v>
      </c>
      <c r="AL35" s="17">
        <v>2.0342918578535301E-3</v>
      </c>
      <c r="AM35" s="17">
        <v>150.42537858313901</v>
      </c>
      <c r="AN35" s="16"/>
      <c r="AO35" s="17" t="s">
        <v>93</v>
      </c>
      <c r="AP35" s="17" t="s">
        <v>93</v>
      </c>
      <c r="AQ35" s="17" t="s">
        <v>93</v>
      </c>
      <c r="AR35" s="17" t="s">
        <v>93</v>
      </c>
      <c r="AS35" s="17" t="s">
        <v>93</v>
      </c>
      <c r="AT35" s="17" t="s">
        <v>93</v>
      </c>
      <c r="AU35" s="17" t="s">
        <v>93</v>
      </c>
      <c r="AV35" s="17">
        <v>150.451601583045</v>
      </c>
      <c r="AW35" s="17">
        <v>150.451601583045</v>
      </c>
      <c r="AX35" s="17">
        <v>150.451601583045</v>
      </c>
      <c r="AY35" s="17">
        <v>9.9977247919887304</v>
      </c>
      <c r="AZ35" s="17">
        <v>4.2</v>
      </c>
      <c r="BA35" s="17">
        <v>1</v>
      </c>
      <c r="BB35" s="17" t="s">
        <v>448</v>
      </c>
      <c r="BC35" s="17" t="s">
        <v>61</v>
      </c>
      <c r="BD35" s="16"/>
      <c r="BE35" s="17" t="s">
        <v>62</v>
      </c>
      <c r="BF35" s="17" t="s">
        <v>172</v>
      </c>
      <c r="BG35" s="17" t="s">
        <v>449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17" t="s">
        <v>157</v>
      </c>
      <c r="H36" s="17" t="s">
        <v>66</v>
      </c>
      <c r="I36" s="17" t="s">
        <v>84</v>
      </c>
      <c r="J36" s="17" t="s">
        <v>66</v>
      </c>
      <c r="K36" s="17" t="s">
        <v>474</v>
      </c>
      <c r="L36" s="17" t="s">
        <v>162</v>
      </c>
      <c r="M36" s="17" t="s">
        <v>87</v>
      </c>
      <c r="N36" s="17" t="s">
        <v>88</v>
      </c>
      <c r="O36" s="17" t="s">
        <v>88</v>
      </c>
      <c r="P36" s="17" t="s">
        <v>476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1</v>
      </c>
      <c r="Z36" s="17">
        <v>150.451601583045</v>
      </c>
      <c r="AA36" s="16"/>
      <c r="AB36" s="16"/>
      <c r="AC36" s="16"/>
      <c r="AD36" s="16"/>
      <c r="AE36" s="16"/>
      <c r="AF36" s="16"/>
      <c r="AG36" s="16"/>
      <c r="AH36" s="17">
        <v>150.42736983299301</v>
      </c>
      <c r="AI36" s="17">
        <v>150.451601583045</v>
      </c>
      <c r="AJ36" s="17">
        <v>150.451601583045</v>
      </c>
      <c r="AK36" s="17">
        <v>150.451601583045</v>
      </c>
      <c r="AL36" s="18">
        <v>-9.9291093647479997E-5</v>
      </c>
      <c r="AM36" s="17">
        <v>159.910116000101</v>
      </c>
      <c r="AN36" s="17" t="s">
        <v>66</v>
      </c>
      <c r="AO36" s="17" t="s">
        <v>474</v>
      </c>
      <c r="AP36" s="17" t="s">
        <v>162</v>
      </c>
      <c r="AQ36" s="17" t="s">
        <v>87</v>
      </c>
      <c r="AR36" s="17" t="s">
        <v>88</v>
      </c>
      <c r="AS36" s="17" t="s">
        <v>88</v>
      </c>
      <c r="AT36" s="17" t="s">
        <v>476</v>
      </c>
      <c r="AU36" s="17" t="s">
        <v>90</v>
      </c>
      <c r="AV36" s="16"/>
      <c r="AW36" s="16"/>
      <c r="AX36" s="16"/>
      <c r="AY36" s="16"/>
      <c r="AZ36" s="17">
        <v>4.2</v>
      </c>
      <c r="BA36" s="17">
        <v>1</v>
      </c>
      <c r="BB36" s="17" t="s">
        <v>448</v>
      </c>
      <c r="BC36" s="17" t="s">
        <v>61</v>
      </c>
      <c r="BD36" s="16"/>
      <c r="BE36" s="17" t="s">
        <v>62</v>
      </c>
      <c r="BF36" s="17" t="s">
        <v>172</v>
      </c>
      <c r="BG36" s="17" t="s">
        <v>449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17" t="s">
        <v>114</v>
      </c>
      <c r="H37" s="17" t="s">
        <v>73</v>
      </c>
      <c r="I37" s="17" t="s">
        <v>84</v>
      </c>
      <c r="J37" s="17" t="s">
        <v>73</v>
      </c>
      <c r="K37" s="17" t="s">
        <v>93</v>
      </c>
      <c r="L37" s="17" t="s">
        <v>93</v>
      </c>
      <c r="M37" s="17" t="s">
        <v>93</v>
      </c>
      <c r="N37" s="17" t="s">
        <v>93</v>
      </c>
      <c r="O37" s="17" t="s">
        <v>93</v>
      </c>
      <c r="P37" s="17" t="s">
        <v>93</v>
      </c>
      <c r="Q37" s="17" t="s">
        <v>93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14</v>
      </c>
      <c r="Z37" s="17">
        <v>159.92140495800399</v>
      </c>
      <c r="AA37" s="16"/>
      <c r="AB37" s="16"/>
      <c r="AC37" s="16"/>
      <c r="AD37" s="16"/>
      <c r="AE37" s="16"/>
      <c r="AF37" s="16"/>
      <c r="AG37" s="16"/>
      <c r="AH37" s="17">
        <v>159.91225116606799</v>
      </c>
      <c r="AI37" s="17">
        <v>159.92140495800399</v>
      </c>
      <c r="AJ37" s="17">
        <v>159.92140495800399</v>
      </c>
      <c r="AK37" s="17">
        <v>159.92140495800399</v>
      </c>
      <c r="AL37" s="17">
        <v>2.0434579346329E-3</v>
      </c>
      <c r="AM37" s="17">
        <v>169.90737995808001</v>
      </c>
      <c r="AN37" s="17" t="s">
        <v>73</v>
      </c>
      <c r="AO37" s="17" t="s">
        <v>93</v>
      </c>
      <c r="AP37" s="17" t="s">
        <v>93</v>
      </c>
      <c r="AQ37" s="17" t="s">
        <v>93</v>
      </c>
      <c r="AR37" s="17" t="s">
        <v>93</v>
      </c>
      <c r="AS37" s="17" t="s">
        <v>93</v>
      </c>
      <c r="AT37" s="17" t="s">
        <v>93</v>
      </c>
      <c r="AU37" s="17" t="s">
        <v>93</v>
      </c>
      <c r="AV37" s="17">
        <v>169.920026750071</v>
      </c>
      <c r="AW37" s="17">
        <v>169.920026750071</v>
      </c>
      <c r="AX37" s="17">
        <v>169.920026750071</v>
      </c>
      <c r="AY37" s="17">
        <v>9.9969268748536706</v>
      </c>
      <c r="AZ37" s="17">
        <v>4.2</v>
      </c>
      <c r="BA37" s="17">
        <v>1</v>
      </c>
      <c r="BB37" s="17" t="s">
        <v>448</v>
      </c>
      <c r="BC37" s="17" t="s">
        <v>61</v>
      </c>
      <c r="BD37" s="16"/>
      <c r="BE37" s="17" t="s">
        <v>62</v>
      </c>
      <c r="BF37" s="17" t="s">
        <v>172</v>
      </c>
      <c r="BG37" s="17" t="s">
        <v>449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118</v>
      </c>
      <c r="H38" s="22" t="s">
        <v>75</v>
      </c>
      <c r="I38" s="22" t="s">
        <v>84</v>
      </c>
      <c r="J38" s="22" t="s">
        <v>477</v>
      </c>
      <c r="K38" s="17" t="s">
        <v>395</v>
      </c>
      <c r="L38" s="17" t="s">
        <v>478</v>
      </c>
      <c r="M38" s="17" t="s">
        <v>87</v>
      </c>
      <c r="N38" s="17" t="s">
        <v>88</v>
      </c>
      <c r="O38" s="17" t="s">
        <v>88</v>
      </c>
      <c r="P38" s="17" t="s">
        <v>479</v>
      </c>
      <c r="Q38" s="17" t="s">
        <v>303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7</v>
      </c>
      <c r="Z38" s="17">
        <v>169.920026750071</v>
      </c>
      <c r="AA38" s="16"/>
      <c r="AB38" s="16"/>
      <c r="AC38" s="16"/>
      <c r="AD38" s="16"/>
      <c r="AE38" s="16"/>
      <c r="AF38" s="16"/>
      <c r="AG38" s="16"/>
      <c r="AH38" s="17">
        <v>169.909483333118</v>
      </c>
      <c r="AI38" s="17">
        <v>169.920026750071</v>
      </c>
      <c r="AJ38" s="17">
        <v>169.920026750071</v>
      </c>
      <c r="AK38" s="17">
        <v>169.920026750071</v>
      </c>
      <c r="AL38" s="17">
        <v>-7.2583416476845698E-4</v>
      </c>
      <c r="AM38" s="17">
        <v>179.90886058309101</v>
      </c>
      <c r="AN38" s="17" t="s">
        <v>477</v>
      </c>
      <c r="AO38" s="17" t="s">
        <v>395</v>
      </c>
      <c r="AP38" s="17" t="s">
        <v>478</v>
      </c>
      <c r="AQ38" s="17" t="s">
        <v>87</v>
      </c>
      <c r="AR38" s="17" t="s">
        <v>88</v>
      </c>
      <c r="AS38" s="17" t="s">
        <v>88</v>
      </c>
      <c r="AT38" s="17" t="s">
        <v>479</v>
      </c>
      <c r="AU38" s="17" t="s">
        <v>303</v>
      </c>
      <c r="AV38" s="17">
        <v>179.92097287508699</v>
      </c>
      <c r="AW38" s="17">
        <v>179.92097287508699</v>
      </c>
      <c r="AX38" s="17">
        <v>179.92097287508699</v>
      </c>
      <c r="AY38" s="17">
        <v>9.9984253749716991</v>
      </c>
      <c r="AZ38" s="17">
        <v>4.2</v>
      </c>
      <c r="BA38" s="17">
        <v>1</v>
      </c>
      <c r="BB38" s="17" t="s">
        <v>448</v>
      </c>
      <c r="BC38" s="17" t="s">
        <v>61</v>
      </c>
      <c r="BD38" s="16"/>
      <c r="BE38" s="17" t="s">
        <v>62</v>
      </c>
      <c r="BF38" s="17" t="s">
        <v>172</v>
      </c>
      <c r="BG38" s="17" t="s">
        <v>449</v>
      </c>
      <c r="BH38" s="16"/>
    </row>
    <row r="39" spans="1:60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17" t="s">
        <v>91</v>
      </c>
      <c r="H39" s="17" t="s">
        <v>71</v>
      </c>
      <c r="I39" s="17" t="s">
        <v>84</v>
      </c>
      <c r="J39" s="17" t="s">
        <v>71</v>
      </c>
      <c r="K39" s="17" t="s">
        <v>480</v>
      </c>
      <c r="L39" s="17" t="s">
        <v>481</v>
      </c>
      <c r="M39" s="17" t="s">
        <v>87</v>
      </c>
      <c r="N39" s="17" t="s">
        <v>88</v>
      </c>
      <c r="O39" s="17" t="s">
        <v>88</v>
      </c>
      <c r="P39" s="17" t="s">
        <v>482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19</v>
      </c>
      <c r="Z39" s="17">
        <v>179.92097287508699</v>
      </c>
      <c r="AA39" s="16"/>
      <c r="AB39" s="16"/>
      <c r="AC39" s="16"/>
      <c r="AD39" s="16"/>
      <c r="AE39" s="16"/>
      <c r="AF39" s="16"/>
      <c r="AG39" s="16"/>
      <c r="AH39" s="17">
        <v>179.911572333192</v>
      </c>
      <c r="AI39" s="17">
        <v>179.92097287508699</v>
      </c>
      <c r="AJ39" s="17">
        <v>179.92097287508699</v>
      </c>
      <c r="AK39" s="17">
        <v>179.92097287508699</v>
      </c>
      <c r="AL39" s="17">
        <v>1.36391585692763E-3</v>
      </c>
      <c r="AM39" s="17">
        <v>188.11004108307</v>
      </c>
      <c r="AN39" s="17" t="s">
        <v>71</v>
      </c>
      <c r="AO39" s="17" t="s">
        <v>480</v>
      </c>
      <c r="AP39" s="17" t="s">
        <v>481</v>
      </c>
      <c r="AQ39" s="17" t="s">
        <v>87</v>
      </c>
      <c r="AR39" s="17" t="s">
        <v>88</v>
      </c>
      <c r="AS39" s="17" t="s">
        <v>88</v>
      </c>
      <c r="AT39" s="17" t="s">
        <v>482</v>
      </c>
      <c r="AU39" s="17" t="s">
        <v>90</v>
      </c>
      <c r="AV39" s="16"/>
      <c r="AW39" s="16"/>
      <c r="AX39" s="16"/>
      <c r="AY39" s="16"/>
      <c r="AZ39" s="17">
        <v>4.2</v>
      </c>
      <c r="BA39" s="17">
        <v>1</v>
      </c>
      <c r="BB39" s="17" t="s">
        <v>448</v>
      </c>
      <c r="BC39" s="17" t="s">
        <v>61</v>
      </c>
      <c r="BD39" s="16"/>
      <c r="BE39" s="17" t="s">
        <v>62</v>
      </c>
      <c r="BF39" s="17" t="s">
        <v>172</v>
      </c>
      <c r="BG39" s="17" t="s">
        <v>449</v>
      </c>
      <c r="BH39" s="16"/>
    </row>
    <row r="40" spans="1:60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22" t="s">
        <v>131</v>
      </c>
      <c r="H40" s="22" t="s">
        <v>76</v>
      </c>
      <c r="I40" s="22" t="s">
        <v>84</v>
      </c>
      <c r="J40" s="22" t="s">
        <v>347</v>
      </c>
      <c r="K40" s="17" t="s">
        <v>480</v>
      </c>
      <c r="L40" s="17" t="s">
        <v>481</v>
      </c>
      <c r="M40" s="17" t="s">
        <v>87</v>
      </c>
      <c r="N40" s="17" t="s">
        <v>88</v>
      </c>
      <c r="O40" s="17" t="s">
        <v>88</v>
      </c>
      <c r="P40" s="17" t="s">
        <v>483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6</v>
      </c>
      <c r="Z40" s="17">
        <v>188.12164004100501</v>
      </c>
      <c r="AA40" s="16"/>
      <c r="AB40" s="16"/>
      <c r="AC40" s="16"/>
      <c r="AD40" s="16"/>
      <c r="AE40" s="16"/>
      <c r="AF40" s="16"/>
      <c r="AG40" s="16"/>
      <c r="AH40" s="17">
        <v>188.11229037516799</v>
      </c>
      <c r="AI40" s="17">
        <v>188.12164004100501</v>
      </c>
      <c r="AJ40" s="17">
        <v>188.12164004100501</v>
      </c>
      <c r="AK40" s="17">
        <v>188.12164004100501</v>
      </c>
      <c r="AL40" s="17">
        <v>2.167291007936E-3</v>
      </c>
      <c r="AM40" s="17">
        <v>194.41001462517301</v>
      </c>
      <c r="AN40" s="17" t="s">
        <v>347</v>
      </c>
      <c r="AO40" s="17" t="s">
        <v>480</v>
      </c>
      <c r="AP40" s="17" t="s">
        <v>481</v>
      </c>
      <c r="AQ40" s="17" t="s">
        <v>87</v>
      </c>
      <c r="AR40" s="17" t="s">
        <v>88</v>
      </c>
      <c r="AS40" s="17" t="s">
        <v>88</v>
      </c>
      <c r="AT40" s="17" t="s">
        <v>483</v>
      </c>
      <c r="AU40" s="17" t="s">
        <v>90</v>
      </c>
      <c r="AV40" s="16"/>
      <c r="AW40" s="16"/>
      <c r="AX40" s="16"/>
      <c r="AY40" s="16"/>
      <c r="AZ40" s="17">
        <v>4.2</v>
      </c>
      <c r="BA40" s="17">
        <v>1</v>
      </c>
      <c r="BB40" s="17" t="s">
        <v>448</v>
      </c>
      <c r="BC40" s="17" t="s">
        <v>61</v>
      </c>
      <c r="BD40" s="16"/>
      <c r="BE40" s="17" t="s">
        <v>62</v>
      </c>
      <c r="BF40" s="17" t="s">
        <v>172</v>
      </c>
      <c r="BG40" s="17" t="s">
        <v>449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136</v>
      </c>
      <c r="H41" s="22" t="s">
        <v>69</v>
      </c>
      <c r="I41" s="22" t="s">
        <v>84</v>
      </c>
      <c r="J41" s="23"/>
      <c r="K41" s="17" t="s">
        <v>93</v>
      </c>
      <c r="L41" s="17" t="s">
        <v>93</v>
      </c>
      <c r="M41" s="17" t="s">
        <v>93</v>
      </c>
      <c r="N41" s="17" t="s">
        <v>93</v>
      </c>
      <c r="O41" s="17" t="s">
        <v>93</v>
      </c>
      <c r="P41" s="17" t="s">
        <v>93</v>
      </c>
      <c r="Q41" s="17" t="s">
        <v>93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8</v>
      </c>
      <c r="Z41" s="17">
        <v>194.42134270816999</v>
      </c>
      <c r="AA41" s="16"/>
      <c r="AB41" s="16"/>
      <c r="AC41" s="16"/>
      <c r="AD41" s="16"/>
      <c r="AE41" s="16"/>
      <c r="AF41" s="16"/>
      <c r="AG41" s="16"/>
      <c r="AH41" s="17">
        <v>194.41200645803499</v>
      </c>
      <c r="AI41" s="17">
        <v>194.42134270816999</v>
      </c>
      <c r="AJ41" s="17">
        <v>194.42134270816999</v>
      </c>
      <c r="AK41" s="17">
        <v>194.42134270816999</v>
      </c>
      <c r="AL41" s="17">
        <v>1.91012490540743E-3</v>
      </c>
      <c r="AM41" s="17">
        <v>204.40843779104799</v>
      </c>
      <c r="AN41" s="16"/>
      <c r="AO41" s="17" t="s">
        <v>93</v>
      </c>
      <c r="AP41" s="17" t="s">
        <v>93</v>
      </c>
      <c r="AQ41" s="17" t="s">
        <v>93</v>
      </c>
      <c r="AR41" s="17" t="s">
        <v>93</v>
      </c>
      <c r="AS41" s="17" t="s">
        <v>93</v>
      </c>
      <c r="AT41" s="17" t="s">
        <v>93</v>
      </c>
      <c r="AU41" s="17" t="s">
        <v>93</v>
      </c>
      <c r="AV41" s="17">
        <v>204.41814341605601</v>
      </c>
      <c r="AW41" s="17">
        <v>204.41814341605601</v>
      </c>
      <c r="AX41" s="17">
        <v>204.41814341605601</v>
      </c>
      <c r="AY41" s="17">
        <v>9.9981426659505797</v>
      </c>
      <c r="AZ41" s="17">
        <v>4.2</v>
      </c>
      <c r="BA41" s="17">
        <v>1</v>
      </c>
      <c r="BB41" s="17" t="s">
        <v>448</v>
      </c>
      <c r="BC41" s="17" t="s">
        <v>61</v>
      </c>
      <c r="BD41" s="16"/>
      <c r="BE41" s="17" t="s">
        <v>62</v>
      </c>
      <c r="BF41" s="17" t="s">
        <v>172</v>
      </c>
      <c r="BG41" s="17" t="s">
        <v>449</v>
      </c>
      <c r="BH41" s="16"/>
    </row>
    <row r="42" spans="1:60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138</v>
      </c>
      <c r="H42" s="22" t="s">
        <v>139</v>
      </c>
      <c r="I42" s="22" t="s">
        <v>96</v>
      </c>
      <c r="J42" s="22" t="s">
        <v>484</v>
      </c>
      <c r="K42" s="17" t="s">
        <v>485</v>
      </c>
      <c r="L42" s="17" t="s">
        <v>98</v>
      </c>
      <c r="M42" s="17" t="s">
        <v>87</v>
      </c>
      <c r="N42" s="17" t="s">
        <v>88</v>
      </c>
      <c r="O42" s="17" t="s">
        <v>88</v>
      </c>
      <c r="P42" s="17" t="s">
        <v>486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21</v>
      </c>
      <c r="Z42" s="17">
        <v>204.41814341605601</v>
      </c>
      <c r="AA42" s="16"/>
      <c r="AB42" s="16"/>
      <c r="AC42" s="16"/>
      <c r="AD42" s="16"/>
      <c r="AE42" s="16"/>
      <c r="AF42" s="16"/>
      <c r="AG42" s="16"/>
      <c r="AH42" s="17">
        <v>204.41021158313399</v>
      </c>
      <c r="AI42" s="17">
        <v>204.41814341605601</v>
      </c>
      <c r="AJ42" s="17">
        <v>204.41814341605601</v>
      </c>
      <c r="AK42" s="17">
        <v>204.41814341605601</v>
      </c>
      <c r="AL42" s="17">
        <v>1.1229095980525001E-4</v>
      </c>
      <c r="AM42" s="17">
        <v>210.57644979097</v>
      </c>
      <c r="AN42" s="17" t="s">
        <v>484</v>
      </c>
      <c r="AO42" s="17" t="s">
        <v>485</v>
      </c>
      <c r="AP42" s="17" t="s">
        <v>98</v>
      </c>
      <c r="AQ42" s="17" t="s">
        <v>87</v>
      </c>
      <c r="AR42" s="17" t="s">
        <v>88</v>
      </c>
      <c r="AS42" s="17" t="s">
        <v>88</v>
      </c>
      <c r="AT42" s="17" t="s">
        <v>486</v>
      </c>
      <c r="AU42" s="17" t="s">
        <v>90</v>
      </c>
      <c r="AV42" s="16"/>
      <c r="AW42" s="16"/>
      <c r="AX42" s="16"/>
      <c r="AY42" s="16"/>
      <c r="AZ42" s="17">
        <v>4.2</v>
      </c>
      <c r="BA42" s="17">
        <v>1</v>
      </c>
      <c r="BB42" s="17" t="s">
        <v>448</v>
      </c>
      <c r="BC42" s="17" t="s">
        <v>61</v>
      </c>
      <c r="BD42" s="16"/>
      <c r="BE42" s="17" t="s">
        <v>62</v>
      </c>
      <c r="BF42" s="17" t="s">
        <v>172</v>
      </c>
      <c r="BG42" s="17" t="s">
        <v>449</v>
      </c>
      <c r="BH42" s="16"/>
    </row>
    <row r="43" spans="1:60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22" t="s">
        <v>83</v>
      </c>
      <c r="H43" s="22" t="s">
        <v>82</v>
      </c>
      <c r="I43" s="22" t="s">
        <v>84</v>
      </c>
      <c r="J43" s="23"/>
      <c r="K43" s="17" t="s">
        <v>93</v>
      </c>
      <c r="L43" s="17" t="s">
        <v>93</v>
      </c>
      <c r="M43" s="17" t="s">
        <v>93</v>
      </c>
      <c r="N43" s="17" t="s">
        <v>93</v>
      </c>
      <c r="O43" s="17" t="s">
        <v>93</v>
      </c>
      <c r="P43" s="17" t="s">
        <v>93</v>
      </c>
      <c r="Q43" s="17" t="s">
        <v>93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9</v>
      </c>
      <c r="Z43" s="17">
        <v>210.587904958054</v>
      </c>
      <c r="AA43" s="16"/>
      <c r="AB43" s="16"/>
      <c r="AC43" s="16"/>
      <c r="AD43" s="16"/>
      <c r="AE43" s="16"/>
      <c r="AF43" s="16"/>
      <c r="AG43" s="16"/>
      <c r="AH43" s="17">
        <v>210.578516416019</v>
      </c>
      <c r="AI43" s="17">
        <v>210.587904958054</v>
      </c>
      <c r="AJ43" s="17">
        <v>210.587904958054</v>
      </c>
      <c r="AK43" s="17">
        <v>210.587904958054</v>
      </c>
      <c r="AL43" s="17">
        <v>1.9747919868677898E-3</v>
      </c>
      <c r="AM43" s="17">
        <v>220.57616887497699</v>
      </c>
      <c r="AN43" s="16"/>
      <c r="AO43" s="17" t="s">
        <v>93</v>
      </c>
      <c r="AP43" s="17" t="s">
        <v>93</v>
      </c>
      <c r="AQ43" s="17" t="s">
        <v>93</v>
      </c>
      <c r="AR43" s="17" t="s">
        <v>93</v>
      </c>
      <c r="AS43" s="17" t="s">
        <v>93</v>
      </c>
      <c r="AT43" s="17" t="s">
        <v>93</v>
      </c>
      <c r="AU43" s="17" t="s">
        <v>93</v>
      </c>
      <c r="AV43" s="17">
        <v>220.58722216612699</v>
      </c>
      <c r="AW43" s="17">
        <v>220.58722216612699</v>
      </c>
      <c r="AX43" s="17">
        <v>220.58722216612699</v>
      </c>
      <c r="AY43" s="17">
        <v>9.9994029591325706</v>
      </c>
      <c r="AZ43" s="17">
        <v>4.2</v>
      </c>
      <c r="BA43" s="17">
        <v>1</v>
      </c>
      <c r="BB43" s="17" t="s">
        <v>448</v>
      </c>
      <c r="BC43" s="17" t="s">
        <v>61</v>
      </c>
      <c r="BD43" s="16"/>
      <c r="BE43" s="17" t="s">
        <v>62</v>
      </c>
      <c r="BF43" s="17" t="s">
        <v>172</v>
      </c>
      <c r="BG43" s="17" t="s">
        <v>449</v>
      </c>
      <c r="BH43" s="16"/>
    </row>
    <row r="44" spans="1:60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17" t="s">
        <v>104</v>
      </c>
      <c r="H44" s="17" t="s">
        <v>70</v>
      </c>
      <c r="I44" s="17" t="s">
        <v>84</v>
      </c>
      <c r="J44" s="17" t="s">
        <v>70</v>
      </c>
      <c r="K44" s="17" t="s">
        <v>487</v>
      </c>
      <c r="L44" s="17" t="s">
        <v>98</v>
      </c>
      <c r="M44" s="17" t="s">
        <v>87</v>
      </c>
      <c r="N44" s="17" t="s">
        <v>88</v>
      </c>
      <c r="O44" s="17" t="s">
        <v>88</v>
      </c>
      <c r="P44" s="17" t="s">
        <v>488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2</v>
      </c>
      <c r="Z44" s="17">
        <v>220.58722216612699</v>
      </c>
      <c r="AA44" s="16"/>
      <c r="AB44" s="16"/>
      <c r="AC44" s="16"/>
      <c r="AD44" s="16"/>
      <c r="AE44" s="16"/>
      <c r="AF44" s="16"/>
      <c r="AG44" s="16"/>
      <c r="AH44" s="17">
        <v>220.57831341610299</v>
      </c>
      <c r="AI44" s="17">
        <v>220.58722216612699</v>
      </c>
      <c r="AJ44" s="17">
        <v>220.58722216612699</v>
      </c>
      <c r="AK44" s="17">
        <v>220.58722216612699</v>
      </c>
      <c r="AL44" s="17">
        <v>1.7715001013129999E-3</v>
      </c>
      <c r="AM44" s="17">
        <v>225.12638354115199</v>
      </c>
      <c r="AN44" s="17" t="s">
        <v>70</v>
      </c>
      <c r="AO44" s="17" t="s">
        <v>487</v>
      </c>
      <c r="AP44" s="17" t="s">
        <v>98</v>
      </c>
      <c r="AQ44" s="17" t="s">
        <v>87</v>
      </c>
      <c r="AR44" s="17" t="s">
        <v>88</v>
      </c>
      <c r="AS44" s="17" t="s">
        <v>88</v>
      </c>
      <c r="AT44" s="17" t="s">
        <v>488</v>
      </c>
      <c r="AU44" s="17" t="s">
        <v>90</v>
      </c>
      <c r="AV44" s="16"/>
      <c r="AW44" s="16"/>
      <c r="AX44" s="16"/>
      <c r="AY44" s="16"/>
      <c r="AZ44" s="17">
        <v>4.2</v>
      </c>
      <c r="BA44" s="17">
        <v>1</v>
      </c>
      <c r="BB44" s="17" t="s">
        <v>448</v>
      </c>
      <c r="BC44" s="17" t="s">
        <v>61</v>
      </c>
      <c r="BD44" s="16"/>
      <c r="BE44" s="17" t="s">
        <v>62</v>
      </c>
      <c r="BF44" s="17" t="s">
        <v>172</v>
      </c>
      <c r="BG44" s="17" t="s">
        <v>449</v>
      </c>
      <c r="BH44" s="16"/>
    </row>
    <row r="45" spans="1:60" ht="98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17" t="s">
        <v>169</v>
      </c>
      <c r="H45" s="17" t="s">
        <v>77</v>
      </c>
      <c r="I45" s="17" t="s">
        <v>84</v>
      </c>
      <c r="J45" s="17" t="s">
        <v>77</v>
      </c>
      <c r="K45" s="17" t="s">
        <v>489</v>
      </c>
      <c r="L45" s="17" t="s">
        <v>490</v>
      </c>
      <c r="M45" s="17" t="s">
        <v>110</v>
      </c>
      <c r="N45" s="17" t="s">
        <v>111</v>
      </c>
      <c r="O45" s="17" t="s">
        <v>111</v>
      </c>
      <c r="P45" s="17" t="s">
        <v>491</v>
      </c>
      <c r="Q45" s="17" t="s">
        <v>113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10</v>
      </c>
      <c r="Z45" s="17">
        <v>225.13772704102999</v>
      </c>
      <c r="AA45" s="16"/>
      <c r="AB45" s="16"/>
      <c r="AC45" s="16"/>
      <c r="AD45" s="16"/>
      <c r="AE45" s="16"/>
      <c r="AF45" s="16"/>
      <c r="AG45" s="16"/>
      <c r="AH45" s="17">
        <v>225.12835520808599</v>
      </c>
      <c r="AI45" s="17">
        <v>225.13772704102999</v>
      </c>
      <c r="AJ45" s="17">
        <v>225.13772704102999</v>
      </c>
      <c r="AK45" s="17">
        <v>225.13772704102999</v>
      </c>
      <c r="AL45" s="17">
        <v>1.8901252187788499E-3</v>
      </c>
      <c r="AM45" s="17">
        <v>230.09284529113199</v>
      </c>
      <c r="AN45" s="17" t="s">
        <v>77</v>
      </c>
      <c r="AO45" s="17" t="s">
        <v>489</v>
      </c>
      <c r="AP45" s="17" t="s">
        <v>490</v>
      </c>
      <c r="AQ45" s="17" t="s">
        <v>110</v>
      </c>
      <c r="AR45" s="17" t="s">
        <v>111</v>
      </c>
      <c r="AS45" s="17" t="s">
        <v>111</v>
      </c>
      <c r="AT45" s="17" t="s">
        <v>491</v>
      </c>
      <c r="AU45" s="17" t="s">
        <v>113</v>
      </c>
      <c r="AV45" s="16"/>
      <c r="AW45" s="16"/>
      <c r="AX45" s="16"/>
      <c r="AY45" s="16"/>
      <c r="AZ45" s="17">
        <v>4.2</v>
      </c>
      <c r="BA45" s="17">
        <v>1</v>
      </c>
      <c r="BB45" s="17" t="s">
        <v>448</v>
      </c>
      <c r="BC45" s="17" t="s">
        <v>61</v>
      </c>
      <c r="BD45" s="16"/>
      <c r="BE45" s="17" t="s">
        <v>62</v>
      </c>
      <c r="BF45" s="17" t="s">
        <v>172</v>
      </c>
      <c r="BG45" s="17" t="s">
        <v>449</v>
      </c>
      <c r="BH45" s="16"/>
    </row>
    <row r="46" spans="1:60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123</v>
      </c>
      <c r="H46" s="17" t="s">
        <v>78</v>
      </c>
      <c r="I46" s="17" t="s">
        <v>84</v>
      </c>
      <c r="J46" s="17" t="s">
        <v>78</v>
      </c>
      <c r="K46" s="17" t="s">
        <v>492</v>
      </c>
      <c r="L46" s="17" t="s">
        <v>493</v>
      </c>
      <c r="M46" s="17" t="s">
        <v>87</v>
      </c>
      <c r="N46" s="17" t="s">
        <v>88</v>
      </c>
      <c r="O46" s="17" t="s">
        <v>88</v>
      </c>
      <c r="P46" s="17" t="s">
        <v>494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5</v>
      </c>
      <c r="Z46" s="17">
        <v>230.10362104116899</v>
      </c>
      <c r="AA46" s="16"/>
      <c r="AB46" s="16"/>
      <c r="AC46" s="16"/>
      <c r="AD46" s="16"/>
      <c r="AE46" s="16"/>
      <c r="AF46" s="16"/>
      <c r="AG46" s="16"/>
      <c r="AH46" s="17">
        <v>230.09461600007501</v>
      </c>
      <c r="AI46" s="17">
        <v>230.10362104116899</v>
      </c>
      <c r="AJ46" s="17">
        <v>230.10362104116899</v>
      </c>
      <c r="AK46" s="17">
        <v>230.10362104116899</v>
      </c>
      <c r="AL46" s="17">
        <v>1.66316679678857E-3</v>
      </c>
      <c r="AM46" s="17">
        <v>234.176465541124</v>
      </c>
      <c r="AN46" s="17" t="s">
        <v>78</v>
      </c>
      <c r="AO46" s="17" t="s">
        <v>492</v>
      </c>
      <c r="AP46" s="17" t="s">
        <v>493</v>
      </c>
      <c r="AQ46" s="17" t="s">
        <v>87</v>
      </c>
      <c r="AR46" s="17" t="s">
        <v>88</v>
      </c>
      <c r="AS46" s="17" t="s">
        <v>88</v>
      </c>
      <c r="AT46" s="17" t="s">
        <v>494</v>
      </c>
      <c r="AU46" s="17" t="s">
        <v>90</v>
      </c>
      <c r="AV46" s="16"/>
      <c r="AW46" s="16"/>
      <c r="AX46" s="16"/>
      <c r="AY46" s="16"/>
      <c r="AZ46" s="17">
        <v>4.2</v>
      </c>
      <c r="BA46" s="17">
        <v>1</v>
      </c>
      <c r="BB46" s="17" t="s">
        <v>448</v>
      </c>
      <c r="BC46" s="17" t="s">
        <v>61</v>
      </c>
      <c r="BD46" s="16"/>
      <c r="BE46" s="17" t="s">
        <v>62</v>
      </c>
      <c r="BF46" s="17" t="s">
        <v>172</v>
      </c>
      <c r="BG46" s="17" t="s">
        <v>449</v>
      </c>
      <c r="BH46" s="16"/>
    </row>
    <row r="48" spans="1:60" ht="14" x14ac:dyDescent="0.15">
      <c r="K48" s="19" t="s">
        <v>630</v>
      </c>
      <c r="L48" s="17" t="s">
        <v>647</v>
      </c>
      <c r="M48">
        <f>8/16</f>
        <v>0.5</v>
      </c>
    </row>
    <row r="49" spans="11:13" ht="14" x14ac:dyDescent="0.15">
      <c r="K49" s="19" t="s">
        <v>631</v>
      </c>
      <c r="L49" s="24" t="s">
        <v>646</v>
      </c>
      <c r="M49">
        <f>1/5</f>
        <v>0.2</v>
      </c>
    </row>
    <row r="50" spans="11:13" x14ac:dyDescent="0.15">
      <c r="K50" s="1"/>
    </row>
    <row r="51" spans="11:13" x14ac:dyDescent="0.15">
      <c r="K51" s="19" t="s">
        <v>637</v>
      </c>
      <c r="M51">
        <f>M48-M49</f>
        <v>0.3</v>
      </c>
    </row>
    <row r="53" spans="11:13" x14ac:dyDescent="0.15">
      <c r="K53" s="19" t="s">
        <v>658</v>
      </c>
      <c r="M53">
        <f>M51-'4'!M51</f>
        <v>-5.555555555555558E-2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A7EE-7AFB-3046-A27C-C6CC0129201F}">
  <dimension ref="A1:BD51"/>
  <sheetViews>
    <sheetView topLeftCell="D40" zoomScale="136" workbookViewId="0">
      <selection activeCell="M51" sqref="M51"/>
    </sheetView>
  </sheetViews>
  <sheetFormatPr baseColWidth="10" defaultRowHeight="13" x14ac:dyDescent="0.15"/>
  <cols>
    <col min="5" max="6" width="11.6640625" bestFit="1" customWidth="1"/>
    <col min="11" max="11" width="31" customWidth="1"/>
    <col min="13" max="13" width="11.6640625" bestFit="1" customWidth="1"/>
    <col min="18" max="19" width="11" bestFit="1" customWidth="1"/>
  </cols>
  <sheetData>
    <row r="1" spans="1:56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51</v>
      </c>
      <c r="AW1" s="15" t="s">
        <v>52</v>
      </c>
      <c r="AX1" s="15" t="s">
        <v>53</v>
      </c>
      <c r="AY1" s="15" t="s">
        <v>54</v>
      </c>
      <c r="AZ1" s="15" t="s">
        <v>55</v>
      </c>
      <c r="BA1" s="15" t="s">
        <v>56</v>
      </c>
      <c r="BB1" s="15" t="s">
        <v>57</v>
      </c>
      <c r="BC1" s="15" t="s">
        <v>58</v>
      </c>
      <c r="BD1" s="16"/>
    </row>
    <row r="2" spans="1:56" ht="56" x14ac:dyDescent="0.15">
      <c r="A2" s="15" t="s">
        <v>66</v>
      </c>
      <c r="B2" s="17">
        <v>0</v>
      </c>
      <c r="C2" s="17">
        <v>0</v>
      </c>
      <c r="D2" s="17">
        <v>0</v>
      </c>
      <c r="E2" s="17">
        <v>1.0359712230215801</v>
      </c>
      <c r="F2" s="17">
        <v>1.67111458396539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1</v>
      </c>
      <c r="V2" s="16"/>
      <c r="W2" s="16"/>
      <c r="X2" s="16"/>
      <c r="Y2" s="16"/>
      <c r="Z2" s="17">
        <v>2.9547749785706401E-2</v>
      </c>
      <c r="AA2" s="16"/>
      <c r="AB2" s="17">
        <v>1.7090874956920701E-2</v>
      </c>
      <c r="AC2" s="17">
        <v>2.9547749785706401E-2</v>
      </c>
      <c r="AD2" s="17">
        <v>2.9547749785706401E-2</v>
      </c>
      <c r="AE2" s="17">
        <v>1.69808433298022</v>
      </c>
      <c r="AF2" s="17">
        <v>1.0359712230215801</v>
      </c>
      <c r="AG2" s="17">
        <v>1.67111458396539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 t="s">
        <v>495</v>
      </c>
      <c r="AW2" s="17">
        <v>1</v>
      </c>
      <c r="AX2" s="17" t="s">
        <v>496</v>
      </c>
      <c r="AY2" s="17" t="s">
        <v>61</v>
      </c>
      <c r="AZ2" s="16"/>
      <c r="BA2" s="17" t="s">
        <v>62</v>
      </c>
      <c r="BB2" s="17" t="s">
        <v>172</v>
      </c>
      <c r="BC2" s="17" t="s">
        <v>497</v>
      </c>
      <c r="BD2" s="16"/>
    </row>
    <row r="3" spans="1:56" ht="56" x14ac:dyDescent="0.15">
      <c r="A3" s="15" t="s">
        <v>71</v>
      </c>
      <c r="B3" s="17">
        <v>1</v>
      </c>
      <c r="C3" s="17">
        <v>1</v>
      </c>
      <c r="D3" s="17">
        <v>0</v>
      </c>
      <c r="E3" s="17">
        <v>1.03237410071942</v>
      </c>
      <c r="F3" s="17">
        <v>1.3553369580768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19</v>
      </c>
      <c r="V3" s="16"/>
      <c r="W3" s="16"/>
      <c r="X3" s="16"/>
      <c r="Y3" s="16"/>
      <c r="Z3" s="17">
        <v>1.7062921249307701</v>
      </c>
      <c r="AA3" s="16"/>
      <c r="AB3" s="17">
        <v>1.7004072919953599</v>
      </c>
      <c r="AC3" s="17">
        <v>1.7062921249307701</v>
      </c>
      <c r="AD3" s="17">
        <v>1.7062921249307701</v>
      </c>
      <c r="AE3" s="17">
        <v>3.06467833300121</v>
      </c>
      <c r="AF3" s="17">
        <v>1.03237410071942</v>
      </c>
      <c r="AG3" s="17">
        <v>1.3553369580768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7" t="s">
        <v>495</v>
      </c>
      <c r="AW3" s="17">
        <v>1</v>
      </c>
      <c r="AX3" s="17" t="s">
        <v>496</v>
      </c>
      <c r="AY3" s="17" t="s">
        <v>61</v>
      </c>
      <c r="AZ3" s="16"/>
      <c r="BA3" s="17" t="s">
        <v>62</v>
      </c>
      <c r="BB3" s="17" t="s">
        <v>172</v>
      </c>
      <c r="BC3" s="17" t="s">
        <v>497</v>
      </c>
      <c r="BD3" s="16"/>
    </row>
    <row r="4" spans="1:56" ht="56" x14ac:dyDescent="0.15">
      <c r="A4" s="15" t="s">
        <v>65</v>
      </c>
      <c r="B4" s="17">
        <v>2</v>
      </c>
      <c r="C4" s="17">
        <v>2</v>
      </c>
      <c r="D4" s="17">
        <v>0</v>
      </c>
      <c r="E4" s="17">
        <v>4.8992805755395699</v>
      </c>
      <c r="F4" s="17">
        <v>2.2880803749430898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11</v>
      </c>
      <c r="V4" s="16"/>
      <c r="W4" s="16"/>
      <c r="X4" s="16"/>
      <c r="Y4" s="16"/>
      <c r="Z4" s="17">
        <v>3.0739868329837901</v>
      </c>
      <c r="AA4" s="16"/>
      <c r="AB4" s="17">
        <v>3.0673502918798499</v>
      </c>
      <c r="AC4" s="17">
        <v>3.0739868329837901</v>
      </c>
      <c r="AD4" s="17">
        <v>3.0739868329837901</v>
      </c>
      <c r="AE4" s="17">
        <v>5.3646533749997598</v>
      </c>
      <c r="AF4" s="17">
        <v>4.8992805755395699</v>
      </c>
      <c r="AG4" s="17">
        <v>2.2880803749430898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7" t="s">
        <v>495</v>
      </c>
      <c r="AW4" s="17">
        <v>1</v>
      </c>
      <c r="AX4" s="17" t="s">
        <v>496</v>
      </c>
      <c r="AY4" s="17" t="s">
        <v>61</v>
      </c>
      <c r="AZ4" s="16"/>
      <c r="BA4" s="17" t="s">
        <v>62</v>
      </c>
      <c r="BB4" s="17" t="s">
        <v>172</v>
      </c>
      <c r="BC4" s="17" t="s">
        <v>497</v>
      </c>
      <c r="BD4" s="16"/>
    </row>
    <row r="5" spans="1:56" ht="56" x14ac:dyDescent="0.15">
      <c r="A5" s="15" t="s">
        <v>67</v>
      </c>
      <c r="B5" s="17">
        <v>3</v>
      </c>
      <c r="C5" s="17">
        <v>3</v>
      </c>
      <c r="D5" s="17">
        <v>0</v>
      </c>
      <c r="E5" s="17">
        <v>4.9208633093525203</v>
      </c>
      <c r="F5" s="17">
        <v>1.0882698751520401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16</v>
      </c>
      <c r="V5" s="16"/>
      <c r="W5" s="16"/>
      <c r="X5" s="16"/>
      <c r="Y5" s="16"/>
      <c r="Z5" s="17">
        <v>5.3738353329245001</v>
      </c>
      <c r="AA5" s="16"/>
      <c r="AB5" s="17">
        <v>5.36733449995518</v>
      </c>
      <c r="AC5" s="17">
        <v>5.3738353329245001</v>
      </c>
      <c r="AD5" s="17">
        <v>5.3738353329245001</v>
      </c>
      <c r="AE5" s="17">
        <v>6.4647330418229103</v>
      </c>
      <c r="AF5" s="17">
        <v>4.9208633093525203</v>
      </c>
      <c r="AG5" s="17">
        <v>1.0882698751520401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7" t="s">
        <v>495</v>
      </c>
      <c r="AW5" s="17">
        <v>1</v>
      </c>
      <c r="AX5" s="17" t="s">
        <v>496</v>
      </c>
      <c r="AY5" s="17" t="s">
        <v>61</v>
      </c>
      <c r="AZ5" s="16"/>
      <c r="BA5" s="17" t="s">
        <v>62</v>
      </c>
      <c r="BB5" s="17" t="s">
        <v>172</v>
      </c>
      <c r="BC5" s="17" t="s">
        <v>497</v>
      </c>
      <c r="BD5" s="16"/>
    </row>
    <row r="6" spans="1:56" ht="56" x14ac:dyDescent="0.15">
      <c r="A6" s="15" t="s">
        <v>69</v>
      </c>
      <c r="B6" s="17">
        <v>4</v>
      </c>
      <c r="C6" s="17">
        <v>4</v>
      </c>
      <c r="D6" s="17">
        <v>0</v>
      </c>
      <c r="E6" s="17">
        <v>1.0647482014388501</v>
      </c>
      <c r="F6" s="17">
        <v>2.2054700001608598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8</v>
      </c>
      <c r="V6" s="16"/>
      <c r="W6" s="16"/>
      <c r="X6" s="16"/>
      <c r="Y6" s="16"/>
      <c r="Z6" s="17">
        <v>6.4733258329797501</v>
      </c>
      <c r="AA6" s="16"/>
      <c r="AB6" s="17">
        <v>6.4666877919808003</v>
      </c>
      <c r="AC6" s="17">
        <v>6.4733258329797501</v>
      </c>
      <c r="AD6" s="17">
        <v>6.4733258329797501</v>
      </c>
      <c r="AE6" s="17">
        <v>8.6813294168096</v>
      </c>
      <c r="AF6" s="17">
        <v>1.0647482014388501</v>
      </c>
      <c r="AG6" s="17">
        <v>2.2054700001608598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7" t="s">
        <v>495</v>
      </c>
      <c r="AW6" s="17">
        <v>1</v>
      </c>
      <c r="AX6" s="17" t="s">
        <v>496</v>
      </c>
      <c r="AY6" s="17" t="s">
        <v>61</v>
      </c>
      <c r="AZ6" s="16"/>
      <c r="BA6" s="17" t="s">
        <v>62</v>
      </c>
      <c r="BB6" s="17" t="s">
        <v>172</v>
      </c>
      <c r="BC6" s="17" t="s">
        <v>497</v>
      </c>
      <c r="BD6" s="16"/>
    </row>
    <row r="7" spans="1:56" ht="56" x14ac:dyDescent="0.15">
      <c r="A7" s="15" t="s">
        <v>72</v>
      </c>
      <c r="B7" s="17">
        <v>5</v>
      </c>
      <c r="C7" s="17">
        <v>5</v>
      </c>
      <c r="D7" s="17">
        <v>0</v>
      </c>
      <c r="E7" s="17">
        <v>1.0647482014388501</v>
      </c>
      <c r="F7" s="17">
        <v>0.97258575004525505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0</v>
      </c>
      <c r="V7" s="16"/>
      <c r="W7" s="16"/>
      <c r="X7" s="16"/>
      <c r="Y7" s="16"/>
      <c r="Z7" s="17">
        <v>8.6898280829191208</v>
      </c>
      <c r="AA7" s="16"/>
      <c r="AB7" s="17">
        <v>8.6830837079323793</v>
      </c>
      <c r="AC7" s="17">
        <v>8.6898280829191208</v>
      </c>
      <c r="AD7" s="17">
        <v>8.6898280829191208</v>
      </c>
      <c r="AE7" s="17">
        <v>9.6646632079500705</v>
      </c>
      <c r="AF7" s="17">
        <v>1.0647482014388501</v>
      </c>
      <c r="AG7" s="17">
        <v>0.97258575004525505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7" t="s">
        <v>495</v>
      </c>
      <c r="AW7" s="17">
        <v>1</v>
      </c>
      <c r="AX7" s="17" t="s">
        <v>496</v>
      </c>
      <c r="AY7" s="17" t="s">
        <v>61</v>
      </c>
      <c r="AZ7" s="16"/>
      <c r="BA7" s="17" t="s">
        <v>62</v>
      </c>
      <c r="BB7" s="17" t="s">
        <v>172</v>
      </c>
      <c r="BC7" s="17" t="s">
        <v>497</v>
      </c>
      <c r="BD7" s="16"/>
    </row>
    <row r="8" spans="1:56" ht="56" x14ac:dyDescent="0.15">
      <c r="A8" s="15" t="s">
        <v>68</v>
      </c>
      <c r="B8" s="17">
        <v>6</v>
      </c>
      <c r="C8" s="17">
        <v>6</v>
      </c>
      <c r="D8" s="17">
        <v>0</v>
      </c>
      <c r="E8" s="17">
        <v>4.9280575539568403</v>
      </c>
      <c r="F8" s="17">
        <v>1.90570320794359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17</v>
      </c>
      <c r="V8" s="16"/>
      <c r="W8" s="16"/>
      <c r="X8" s="16"/>
      <c r="Y8" s="16"/>
      <c r="Z8" s="17">
        <v>9.6731125419028103</v>
      </c>
      <c r="AA8" s="16"/>
      <c r="AB8" s="17">
        <v>9.6664955418091303</v>
      </c>
      <c r="AC8" s="17">
        <v>9.6731125419028103</v>
      </c>
      <c r="AD8" s="17">
        <v>9.6731125419028103</v>
      </c>
      <c r="AE8" s="17">
        <v>11.581295332871401</v>
      </c>
      <c r="AF8" s="17">
        <v>4.9280575539568403</v>
      </c>
      <c r="AG8" s="17">
        <v>1.90570320794359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7" t="s">
        <v>495</v>
      </c>
      <c r="AW8" s="17">
        <v>1</v>
      </c>
      <c r="AX8" s="17" t="s">
        <v>496</v>
      </c>
      <c r="AY8" s="17" t="s">
        <v>61</v>
      </c>
      <c r="AZ8" s="16"/>
      <c r="BA8" s="17" t="s">
        <v>62</v>
      </c>
      <c r="BB8" s="17" t="s">
        <v>172</v>
      </c>
      <c r="BC8" s="17" t="s">
        <v>497</v>
      </c>
      <c r="BD8" s="16"/>
    </row>
    <row r="9" spans="1:56" ht="56" x14ac:dyDescent="0.15">
      <c r="A9" s="15" t="s">
        <v>80</v>
      </c>
      <c r="B9" s="17">
        <v>7</v>
      </c>
      <c r="C9" s="17">
        <v>7</v>
      </c>
      <c r="D9" s="17">
        <v>0</v>
      </c>
      <c r="E9" s="17">
        <v>4.9280575539568403</v>
      </c>
      <c r="F9" s="17">
        <v>1.6380279159639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15</v>
      </c>
      <c r="V9" s="16"/>
      <c r="W9" s="16"/>
      <c r="X9" s="16"/>
      <c r="Y9" s="16"/>
      <c r="Z9" s="17">
        <v>11.590218917001</v>
      </c>
      <c r="AA9" s="16"/>
      <c r="AB9" s="17">
        <v>11.583761749789099</v>
      </c>
      <c r="AC9" s="17">
        <v>11.590218917001</v>
      </c>
      <c r="AD9" s="17">
        <v>11.590218917001</v>
      </c>
      <c r="AE9" s="17">
        <v>13.23133533285</v>
      </c>
      <c r="AF9" s="17">
        <v>4.9280575539568403</v>
      </c>
      <c r="AG9" s="17">
        <v>1.6380279159639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7" t="s">
        <v>495</v>
      </c>
      <c r="AW9" s="17">
        <v>1</v>
      </c>
      <c r="AX9" s="17" t="s">
        <v>496</v>
      </c>
      <c r="AY9" s="17" t="s">
        <v>61</v>
      </c>
      <c r="AZ9" s="16"/>
      <c r="BA9" s="17" t="s">
        <v>62</v>
      </c>
      <c r="BB9" s="17" t="s">
        <v>172</v>
      </c>
      <c r="BC9" s="17" t="s">
        <v>497</v>
      </c>
      <c r="BD9" s="16"/>
    </row>
    <row r="10" spans="1:56" ht="56" x14ac:dyDescent="0.15">
      <c r="A10" s="15" t="s">
        <v>70</v>
      </c>
      <c r="B10" s="17">
        <v>8</v>
      </c>
      <c r="C10" s="17">
        <v>8</v>
      </c>
      <c r="D10" s="17">
        <v>0</v>
      </c>
      <c r="E10" s="17">
        <v>1.02517985611511</v>
      </c>
      <c r="F10" s="17">
        <v>1.45488883415237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2</v>
      </c>
      <c r="V10" s="16"/>
      <c r="W10" s="16"/>
      <c r="X10" s="16"/>
      <c r="Y10" s="16"/>
      <c r="Z10" s="17">
        <v>13.240631166845599</v>
      </c>
      <c r="AA10" s="16"/>
      <c r="AB10" s="17">
        <v>13.234144124900901</v>
      </c>
      <c r="AC10" s="17">
        <v>13.240631166845599</v>
      </c>
      <c r="AD10" s="17">
        <v>13.240631166845599</v>
      </c>
      <c r="AE10" s="17">
        <v>14.6979633329902</v>
      </c>
      <c r="AF10" s="17">
        <v>1.02517985611511</v>
      </c>
      <c r="AG10" s="17">
        <v>1.45488883415237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7" t="s">
        <v>495</v>
      </c>
      <c r="AW10" s="17">
        <v>1</v>
      </c>
      <c r="AX10" s="17" t="s">
        <v>496</v>
      </c>
      <c r="AY10" s="17" t="s">
        <v>61</v>
      </c>
      <c r="AZ10" s="16"/>
      <c r="BA10" s="17" t="s">
        <v>62</v>
      </c>
      <c r="BB10" s="17" t="s">
        <v>172</v>
      </c>
      <c r="BC10" s="17" t="s">
        <v>497</v>
      </c>
      <c r="BD10" s="16"/>
    </row>
    <row r="11" spans="1:56" ht="56" x14ac:dyDescent="0.15">
      <c r="A11" s="15" t="s">
        <v>76</v>
      </c>
      <c r="B11" s="17">
        <v>9</v>
      </c>
      <c r="C11" s="17">
        <v>9</v>
      </c>
      <c r="D11" s="17">
        <v>0</v>
      </c>
      <c r="E11" s="17">
        <v>1.02517985611511</v>
      </c>
      <c r="F11" s="17">
        <v>0.68869308382272698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6</v>
      </c>
      <c r="V11" s="16"/>
      <c r="W11" s="16"/>
      <c r="X11" s="16"/>
      <c r="Y11" s="16"/>
      <c r="Z11" s="17">
        <v>14.7071588328108</v>
      </c>
      <c r="AA11" s="16"/>
      <c r="AB11" s="17">
        <v>14.700587541796301</v>
      </c>
      <c r="AC11" s="17">
        <v>14.7071588328108</v>
      </c>
      <c r="AD11" s="17">
        <v>14.7071588328108</v>
      </c>
      <c r="AE11" s="17">
        <v>15.3979252499994</v>
      </c>
      <c r="AF11" s="17">
        <v>1.02517985611511</v>
      </c>
      <c r="AG11" s="17">
        <v>0.68869308382272698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7" t="s">
        <v>495</v>
      </c>
      <c r="AW11" s="17">
        <v>1</v>
      </c>
      <c r="AX11" s="17" t="s">
        <v>496</v>
      </c>
      <c r="AY11" s="17" t="s">
        <v>61</v>
      </c>
      <c r="AZ11" s="16"/>
      <c r="BA11" s="17" t="s">
        <v>62</v>
      </c>
      <c r="BB11" s="17" t="s">
        <v>172</v>
      </c>
      <c r="BC11" s="17" t="s">
        <v>497</v>
      </c>
      <c r="BD11" s="16"/>
    </row>
    <row r="12" spans="1:56" ht="56" x14ac:dyDescent="0.15">
      <c r="A12" s="15" t="s">
        <v>75</v>
      </c>
      <c r="B12" s="17">
        <v>10</v>
      </c>
      <c r="C12" s="17">
        <v>10</v>
      </c>
      <c r="D12" s="17">
        <v>0</v>
      </c>
      <c r="E12" s="17">
        <v>3.9532374100719401</v>
      </c>
      <c r="F12" s="17">
        <v>1.8891063330229401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7</v>
      </c>
      <c r="V12" s="16"/>
      <c r="W12" s="16"/>
      <c r="X12" s="16"/>
      <c r="Y12" s="16"/>
      <c r="Z12" s="17">
        <v>15.4064083748963</v>
      </c>
      <c r="AA12" s="16"/>
      <c r="AB12" s="17">
        <v>15.3997243749909</v>
      </c>
      <c r="AC12" s="17">
        <v>15.4064083748963</v>
      </c>
      <c r="AD12" s="17">
        <v>15.4064083748963</v>
      </c>
      <c r="AE12" s="17">
        <v>17.297981957905002</v>
      </c>
      <c r="AF12" s="17">
        <v>3.9532374100719401</v>
      </c>
      <c r="AG12" s="17">
        <v>1.8891063330229401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7" t="s">
        <v>495</v>
      </c>
      <c r="AW12" s="17">
        <v>1</v>
      </c>
      <c r="AX12" s="17" t="s">
        <v>496</v>
      </c>
      <c r="AY12" s="17" t="s">
        <v>61</v>
      </c>
      <c r="AZ12" s="16"/>
      <c r="BA12" s="17" t="s">
        <v>62</v>
      </c>
      <c r="BB12" s="17" t="s">
        <v>172</v>
      </c>
      <c r="BC12" s="17" t="s">
        <v>497</v>
      </c>
      <c r="BD12" s="16"/>
    </row>
    <row r="13" spans="1:56" ht="56" x14ac:dyDescent="0.15">
      <c r="A13" s="15" t="s">
        <v>81</v>
      </c>
      <c r="B13" s="17">
        <v>11</v>
      </c>
      <c r="C13" s="17">
        <v>11</v>
      </c>
      <c r="D13" s="17">
        <v>0</v>
      </c>
      <c r="E13" s="17">
        <v>1.94244604316547</v>
      </c>
      <c r="F13" s="17">
        <v>2.0225039161741698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4</v>
      </c>
      <c r="V13" s="16"/>
      <c r="W13" s="16"/>
      <c r="X13" s="16"/>
      <c r="Y13" s="16"/>
      <c r="Z13" s="17">
        <v>17.306280166842001</v>
      </c>
      <c r="AA13" s="16"/>
      <c r="AB13" s="17">
        <v>17.299765749834499</v>
      </c>
      <c r="AC13" s="17">
        <v>17.306280166842001</v>
      </c>
      <c r="AD13" s="17">
        <v>17.306280166842001</v>
      </c>
      <c r="AE13" s="17">
        <v>19.3312936248258</v>
      </c>
      <c r="AF13" s="17">
        <v>1.94244604316547</v>
      </c>
      <c r="AG13" s="17">
        <v>2.0225039161741698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7" t="s">
        <v>495</v>
      </c>
      <c r="AW13" s="17">
        <v>1</v>
      </c>
      <c r="AX13" s="17" t="s">
        <v>496</v>
      </c>
      <c r="AY13" s="17" t="s">
        <v>61</v>
      </c>
      <c r="AZ13" s="16"/>
      <c r="BA13" s="17" t="s">
        <v>62</v>
      </c>
      <c r="BB13" s="17" t="s">
        <v>172</v>
      </c>
      <c r="BC13" s="17" t="s">
        <v>497</v>
      </c>
      <c r="BD13" s="16"/>
    </row>
    <row r="14" spans="1:56" ht="56" x14ac:dyDescent="0.15">
      <c r="A14" s="15" t="s">
        <v>74</v>
      </c>
      <c r="B14" s="17">
        <v>12</v>
      </c>
      <c r="C14" s="17">
        <v>12</v>
      </c>
      <c r="D14" s="17">
        <v>0</v>
      </c>
      <c r="E14" s="17">
        <v>3.9424460431654702</v>
      </c>
      <c r="F14" s="17">
        <v>2.1058072501327798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13</v>
      </c>
      <c r="V14" s="16"/>
      <c r="W14" s="16"/>
      <c r="X14" s="16"/>
      <c r="Y14" s="16"/>
      <c r="Z14" s="17">
        <v>19.3397071249783</v>
      </c>
      <c r="AA14" s="16"/>
      <c r="AB14" s="17">
        <v>19.3331201248802</v>
      </c>
      <c r="AC14" s="17">
        <v>19.3397071249783</v>
      </c>
      <c r="AD14" s="17">
        <v>19.3397071249783</v>
      </c>
      <c r="AE14" s="17">
        <v>21.4479436669499</v>
      </c>
      <c r="AF14" s="17">
        <v>3.9424460431654702</v>
      </c>
      <c r="AG14" s="17">
        <v>2.1058072501327798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7" t="s">
        <v>495</v>
      </c>
      <c r="AW14" s="17">
        <v>1</v>
      </c>
      <c r="AX14" s="17" t="s">
        <v>496</v>
      </c>
      <c r="AY14" s="17" t="s">
        <v>61</v>
      </c>
      <c r="AZ14" s="16"/>
      <c r="BA14" s="17" t="s">
        <v>62</v>
      </c>
      <c r="BB14" s="17" t="s">
        <v>172</v>
      </c>
      <c r="BC14" s="17" t="s">
        <v>497</v>
      </c>
      <c r="BD14" s="16"/>
    </row>
    <row r="15" spans="1:56" ht="56" x14ac:dyDescent="0.15">
      <c r="A15" s="15" t="s">
        <v>77</v>
      </c>
      <c r="B15" s="17">
        <v>13</v>
      </c>
      <c r="C15" s="17">
        <v>13</v>
      </c>
      <c r="D15" s="17">
        <v>0</v>
      </c>
      <c r="E15" s="17">
        <v>4.0287769784172696</v>
      </c>
      <c r="F15" s="17">
        <v>1.77155841700733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10</v>
      </c>
      <c r="V15" s="16"/>
      <c r="W15" s="16"/>
      <c r="X15" s="16"/>
      <c r="Y15" s="16"/>
      <c r="Z15" s="17">
        <v>21.457268332829699</v>
      </c>
      <c r="AA15" s="16"/>
      <c r="AB15" s="17">
        <v>21.450686124851899</v>
      </c>
      <c r="AC15" s="17">
        <v>21.457268332829699</v>
      </c>
      <c r="AD15" s="17">
        <v>21.457268332829699</v>
      </c>
      <c r="AE15" s="17">
        <v>23.231222582981001</v>
      </c>
      <c r="AF15" s="17">
        <v>4.0287769784172696</v>
      </c>
      <c r="AG15" s="17">
        <v>1.77155841700733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7" t="s">
        <v>495</v>
      </c>
      <c r="AW15" s="17">
        <v>1</v>
      </c>
      <c r="AX15" s="17" t="s">
        <v>496</v>
      </c>
      <c r="AY15" s="17" t="s">
        <v>61</v>
      </c>
      <c r="AZ15" s="16"/>
      <c r="BA15" s="17" t="s">
        <v>62</v>
      </c>
      <c r="BB15" s="17" t="s">
        <v>172</v>
      </c>
      <c r="BC15" s="17" t="s">
        <v>497</v>
      </c>
      <c r="BD15" s="16"/>
    </row>
    <row r="16" spans="1:56" ht="56" x14ac:dyDescent="0.15">
      <c r="A16" s="15" t="s">
        <v>78</v>
      </c>
      <c r="B16" s="17">
        <v>14</v>
      </c>
      <c r="C16" s="17">
        <v>14</v>
      </c>
      <c r="D16" s="17">
        <v>0</v>
      </c>
      <c r="E16" s="17">
        <v>1.02517985611511</v>
      </c>
      <c r="F16" s="17">
        <v>1.98926741699688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5</v>
      </c>
      <c r="V16" s="16"/>
      <c r="W16" s="16"/>
      <c r="X16" s="16"/>
      <c r="Y16" s="16"/>
      <c r="Z16" s="17">
        <v>23.2395333747845</v>
      </c>
      <c r="AA16" s="16"/>
      <c r="AB16" s="17">
        <v>23.233018207829399</v>
      </c>
      <c r="AC16" s="17">
        <v>23.2395333747845</v>
      </c>
      <c r="AD16" s="17">
        <v>23.2395333747845</v>
      </c>
      <c r="AE16" s="17">
        <v>25.231335291871801</v>
      </c>
      <c r="AF16" s="17">
        <v>1.02517985611511</v>
      </c>
      <c r="AG16" s="17">
        <v>1.98926741699688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7" t="s">
        <v>495</v>
      </c>
      <c r="AW16" s="17">
        <v>1</v>
      </c>
      <c r="AX16" s="17" t="s">
        <v>496</v>
      </c>
      <c r="AY16" s="17" t="s">
        <v>61</v>
      </c>
      <c r="AZ16" s="16"/>
      <c r="BA16" s="17" t="s">
        <v>62</v>
      </c>
      <c r="BB16" s="17" t="s">
        <v>172</v>
      </c>
      <c r="BC16" s="17" t="s">
        <v>497</v>
      </c>
      <c r="BD16" s="16"/>
    </row>
    <row r="17" spans="1:56" ht="56" x14ac:dyDescent="0.15">
      <c r="A17" s="15" t="s">
        <v>59</v>
      </c>
      <c r="B17" s="17">
        <v>15</v>
      </c>
      <c r="C17" s="17">
        <v>15</v>
      </c>
      <c r="D17" s="17">
        <v>0</v>
      </c>
      <c r="E17" s="17">
        <v>4.9928057553956799</v>
      </c>
      <c r="F17" s="17">
        <v>1.5723386669997099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12</v>
      </c>
      <c r="V17" s="16"/>
      <c r="W17" s="16"/>
      <c r="X17" s="16"/>
      <c r="Y17" s="16"/>
      <c r="Z17" s="17">
        <v>25.239756166934999</v>
      </c>
      <c r="AA17" s="16"/>
      <c r="AB17" s="17">
        <v>25.233173416927499</v>
      </c>
      <c r="AC17" s="17">
        <v>25.239756166934999</v>
      </c>
      <c r="AD17" s="17">
        <v>25.239756166934999</v>
      </c>
      <c r="AE17" s="17">
        <v>26.8145524167921</v>
      </c>
      <c r="AF17" s="17">
        <v>4.9928057553956799</v>
      </c>
      <c r="AG17" s="17">
        <v>1.5723386669997099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7" t="s">
        <v>495</v>
      </c>
      <c r="AW17" s="17">
        <v>1</v>
      </c>
      <c r="AX17" s="17" t="s">
        <v>496</v>
      </c>
      <c r="AY17" s="17" t="s">
        <v>61</v>
      </c>
      <c r="AZ17" s="16"/>
      <c r="BA17" s="17" t="s">
        <v>62</v>
      </c>
      <c r="BB17" s="17" t="s">
        <v>172</v>
      </c>
      <c r="BC17" s="17" t="s">
        <v>497</v>
      </c>
      <c r="BD17" s="16"/>
    </row>
    <row r="18" spans="1:56" ht="56" x14ac:dyDescent="0.15">
      <c r="A18" s="15" t="s">
        <v>73</v>
      </c>
      <c r="B18" s="17">
        <v>16</v>
      </c>
      <c r="C18" s="17">
        <v>16</v>
      </c>
      <c r="D18" s="17">
        <v>0</v>
      </c>
      <c r="E18" s="17">
        <v>4.9928057553956799</v>
      </c>
      <c r="F18" s="17">
        <v>0.78969616582617197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14</v>
      </c>
      <c r="V18" s="16"/>
      <c r="W18" s="16"/>
      <c r="X18" s="16"/>
      <c r="Y18" s="16"/>
      <c r="Z18" s="17">
        <v>26.822723541874399</v>
      </c>
      <c r="AA18" s="16"/>
      <c r="AB18" s="17">
        <v>26.8162435418926</v>
      </c>
      <c r="AC18" s="17">
        <v>26.822723541874399</v>
      </c>
      <c r="AD18" s="17">
        <v>26.822723541874399</v>
      </c>
      <c r="AE18" s="17">
        <v>27.614576291991401</v>
      </c>
      <c r="AF18" s="17">
        <v>4.9928057553956799</v>
      </c>
      <c r="AG18" s="17">
        <v>0.78969616582617197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7" t="s">
        <v>495</v>
      </c>
      <c r="AW18" s="17">
        <v>1</v>
      </c>
      <c r="AX18" s="17" t="s">
        <v>496</v>
      </c>
      <c r="AY18" s="17" t="s">
        <v>61</v>
      </c>
      <c r="AZ18" s="16"/>
      <c r="BA18" s="17" t="s">
        <v>62</v>
      </c>
      <c r="BB18" s="17" t="s">
        <v>172</v>
      </c>
      <c r="BC18" s="17" t="s">
        <v>497</v>
      </c>
      <c r="BD18" s="16"/>
    </row>
    <row r="19" spans="1:56" ht="56" x14ac:dyDescent="0.15">
      <c r="A19" s="15" t="s">
        <v>82</v>
      </c>
      <c r="B19" s="17">
        <v>17</v>
      </c>
      <c r="C19" s="17">
        <v>17</v>
      </c>
      <c r="D19" s="17">
        <v>0</v>
      </c>
      <c r="E19" s="17">
        <v>1</v>
      </c>
      <c r="F19" s="17">
        <v>1.5390586249995999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9</v>
      </c>
      <c r="V19" s="16"/>
      <c r="W19" s="16"/>
      <c r="X19" s="16"/>
      <c r="Y19" s="16"/>
      <c r="Z19" s="17">
        <v>27.623202291782899</v>
      </c>
      <c r="AA19" s="16"/>
      <c r="AB19" s="17">
        <v>27.616481541888799</v>
      </c>
      <c r="AC19" s="17">
        <v>27.623202291782899</v>
      </c>
      <c r="AD19" s="17">
        <v>27.623202291782899</v>
      </c>
      <c r="AE19" s="17">
        <v>29.1646312919911</v>
      </c>
      <c r="AF19" s="17">
        <v>1</v>
      </c>
      <c r="AG19" s="17">
        <v>1.5390586249995999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7" t="s">
        <v>495</v>
      </c>
      <c r="AW19" s="17">
        <v>1</v>
      </c>
      <c r="AX19" s="17" t="s">
        <v>496</v>
      </c>
      <c r="AY19" s="17" t="s">
        <v>61</v>
      </c>
      <c r="AZ19" s="16"/>
      <c r="BA19" s="17" t="s">
        <v>62</v>
      </c>
      <c r="BB19" s="17" t="s">
        <v>172</v>
      </c>
      <c r="BC19" s="17" t="s">
        <v>497</v>
      </c>
      <c r="BD19" s="16"/>
    </row>
    <row r="20" spans="1:56" ht="56" x14ac:dyDescent="0.15">
      <c r="A20" s="15" t="s">
        <v>64</v>
      </c>
      <c r="B20" s="17">
        <v>18</v>
      </c>
      <c r="C20" s="17">
        <v>18</v>
      </c>
      <c r="D20" s="17">
        <v>0</v>
      </c>
      <c r="E20" s="17">
        <v>4.9928057553956799</v>
      </c>
      <c r="F20" s="17">
        <v>1.8391333338804501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18</v>
      </c>
      <c r="V20" s="16"/>
      <c r="W20" s="16"/>
      <c r="X20" s="16"/>
      <c r="Y20" s="16"/>
      <c r="Z20" s="17">
        <v>29.173012541839899</v>
      </c>
      <c r="AA20" s="16"/>
      <c r="AB20" s="17">
        <v>29.166518249781799</v>
      </c>
      <c r="AC20" s="17">
        <v>29.173012541839899</v>
      </c>
      <c r="AD20" s="17">
        <v>29.173012541839899</v>
      </c>
      <c r="AE20" s="17">
        <v>31.014627749798802</v>
      </c>
      <c r="AF20" s="17">
        <v>4.9928057553956799</v>
      </c>
      <c r="AG20" s="17">
        <v>1.8391333338804501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7" t="s">
        <v>495</v>
      </c>
      <c r="AW20" s="17">
        <v>1</v>
      </c>
      <c r="AX20" s="17" t="s">
        <v>496</v>
      </c>
      <c r="AY20" s="17" t="s">
        <v>61</v>
      </c>
      <c r="AZ20" s="16"/>
      <c r="BA20" s="17" t="s">
        <v>62</v>
      </c>
      <c r="BB20" s="17" t="s">
        <v>172</v>
      </c>
      <c r="BC20" s="17" t="s">
        <v>497</v>
      </c>
      <c r="BD20" s="16"/>
    </row>
    <row r="21" spans="1:56" ht="56" x14ac:dyDescent="0.15">
      <c r="A21" s="15" t="s">
        <v>79</v>
      </c>
      <c r="B21" s="17">
        <v>19</v>
      </c>
      <c r="C21" s="17">
        <v>19</v>
      </c>
      <c r="D21" s="17">
        <v>0</v>
      </c>
      <c r="E21" s="17">
        <v>1.02877697841727</v>
      </c>
      <c r="F21" s="17">
        <v>1.97284795786254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3</v>
      </c>
      <c r="V21" s="16"/>
      <c r="W21" s="16"/>
      <c r="X21" s="16"/>
      <c r="Y21" s="16"/>
      <c r="Z21" s="17">
        <v>31.023108582943699</v>
      </c>
      <c r="AA21" s="16"/>
      <c r="AB21" s="17">
        <v>31.016402957960999</v>
      </c>
      <c r="AC21" s="17">
        <v>31.023108582943699</v>
      </c>
      <c r="AD21" s="17">
        <v>31.023108582943699</v>
      </c>
      <c r="AE21" s="17">
        <v>32.997875416884199</v>
      </c>
      <c r="AF21" s="17">
        <v>1.02877697841727</v>
      </c>
      <c r="AG21" s="17">
        <v>1.97284795786254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 t="s">
        <v>495</v>
      </c>
      <c r="AW21" s="17">
        <v>1</v>
      </c>
      <c r="AX21" s="17" t="s">
        <v>496</v>
      </c>
      <c r="AY21" s="17" t="s">
        <v>61</v>
      </c>
      <c r="AZ21" s="16"/>
      <c r="BA21" s="17" t="s">
        <v>62</v>
      </c>
      <c r="BB21" s="17" t="s">
        <v>172</v>
      </c>
      <c r="BC21" s="17" t="s">
        <v>497</v>
      </c>
      <c r="BD21" s="16"/>
    </row>
    <row r="22" spans="1:56" ht="56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17" t="s">
        <v>164</v>
      </c>
      <c r="H22" s="17" t="s">
        <v>80</v>
      </c>
      <c r="I22" s="17" t="s">
        <v>84</v>
      </c>
      <c r="J22" s="17" t="s">
        <v>80</v>
      </c>
      <c r="K22" s="17" t="s">
        <v>498</v>
      </c>
      <c r="L22" s="17" t="s">
        <v>127</v>
      </c>
      <c r="M22" s="17" t="s">
        <v>87</v>
      </c>
      <c r="N22" s="17" t="s">
        <v>88</v>
      </c>
      <c r="O22" s="17" t="s">
        <v>88</v>
      </c>
      <c r="P22" s="17" t="s">
        <v>499</v>
      </c>
      <c r="Q22" s="17" t="s">
        <v>90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15</v>
      </c>
      <c r="Z22" s="17">
        <v>33.015507207950598</v>
      </c>
      <c r="AA22" s="16"/>
      <c r="AB22" s="16"/>
      <c r="AC22" s="16"/>
      <c r="AD22" s="16"/>
      <c r="AE22" s="16"/>
      <c r="AF22" s="16"/>
      <c r="AG22" s="16"/>
      <c r="AH22" s="17">
        <v>33.007397707784598</v>
      </c>
      <c r="AI22" s="17">
        <v>33.015507207950598</v>
      </c>
      <c r="AJ22" s="17">
        <v>33.015507207950598</v>
      </c>
      <c r="AK22" s="17">
        <v>33.015507207950598</v>
      </c>
      <c r="AL22" s="17">
        <v>9.5256250351667404E-3</v>
      </c>
      <c r="AM22" s="17">
        <v>39.073463416891201</v>
      </c>
      <c r="AN22" s="17" t="s">
        <v>80</v>
      </c>
      <c r="AO22" s="17" t="s">
        <v>498</v>
      </c>
      <c r="AP22" s="17" t="s">
        <v>127</v>
      </c>
      <c r="AQ22" s="17" t="s">
        <v>87</v>
      </c>
      <c r="AR22" s="17" t="s">
        <v>88</v>
      </c>
      <c r="AS22" s="17" t="s">
        <v>88</v>
      </c>
      <c r="AT22" s="17" t="s">
        <v>499</v>
      </c>
      <c r="AU22" s="17" t="s">
        <v>90</v>
      </c>
      <c r="AV22" s="17" t="s">
        <v>495</v>
      </c>
      <c r="AW22" s="17">
        <v>1</v>
      </c>
      <c r="AX22" s="17" t="s">
        <v>496</v>
      </c>
      <c r="AY22" s="17" t="s">
        <v>61</v>
      </c>
      <c r="AZ22" s="16"/>
      <c r="BA22" s="17" t="s">
        <v>62</v>
      </c>
      <c r="BB22" s="17" t="s">
        <v>172</v>
      </c>
      <c r="BC22" s="17" t="s">
        <v>497</v>
      </c>
      <c r="BD22" s="16"/>
    </row>
    <row r="23" spans="1:56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22" t="s">
        <v>160</v>
      </c>
      <c r="H23" s="22" t="s">
        <v>79</v>
      </c>
      <c r="I23" s="22" t="s">
        <v>84</v>
      </c>
      <c r="J23" s="22" t="s">
        <v>500</v>
      </c>
      <c r="K23" s="17" t="s">
        <v>501</v>
      </c>
      <c r="L23" s="17" t="s">
        <v>146</v>
      </c>
      <c r="M23" s="17" t="s">
        <v>87</v>
      </c>
      <c r="N23" s="17" t="s">
        <v>88</v>
      </c>
      <c r="O23" s="17" t="s">
        <v>88</v>
      </c>
      <c r="P23" s="17" t="s">
        <v>502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3</v>
      </c>
      <c r="Z23" s="17">
        <v>39.0844912498724</v>
      </c>
      <c r="AA23" s="16"/>
      <c r="AB23" s="16"/>
      <c r="AC23" s="16"/>
      <c r="AD23" s="16"/>
      <c r="AE23" s="16"/>
      <c r="AF23" s="16"/>
      <c r="AG23" s="16"/>
      <c r="AH23" s="17">
        <v>39.075477208010902</v>
      </c>
      <c r="AI23" s="17">
        <v>39.0844912498724</v>
      </c>
      <c r="AJ23" s="17">
        <v>39.0844912498724</v>
      </c>
      <c r="AK23" s="17">
        <v>39.0844912498724</v>
      </c>
      <c r="AL23" s="17">
        <v>1.86337484046817E-3</v>
      </c>
      <c r="AM23" s="17">
        <v>42.406032791826902</v>
      </c>
      <c r="AN23" s="17" t="s">
        <v>500</v>
      </c>
      <c r="AO23" s="17" t="s">
        <v>501</v>
      </c>
      <c r="AP23" s="17" t="s">
        <v>146</v>
      </c>
      <c r="AQ23" s="17" t="s">
        <v>87</v>
      </c>
      <c r="AR23" s="17" t="s">
        <v>88</v>
      </c>
      <c r="AS23" s="17" t="s">
        <v>88</v>
      </c>
      <c r="AT23" s="17" t="s">
        <v>502</v>
      </c>
      <c r="AU23" s="17" t="s">
        <v>90</v>
      </c>
      <c r="AV23" s="17" t="s">
        <v>495</v>
      </c>
      <c r="AW23" s="17">
        <v>1</v>
      </c>
      <c r="AX23" s="17" t="s">
        <v>496</v>
      </c>
      <c r="AY23" s="17" t="s">
        <v>61</v>
      </c>
      <c r="AZ23" s="16"/>
      <c r="BA23" s="17" t="s">
        <v>62</v>
      </c>
      <c r="BB23" s="17" t="s">
        <v>172</v>
      </c>
      <c r="BC23" s="17" t="s">
        <v>497</v>
      </c>
      <c r="BD23" s="16"/>
    </row>
    <row r="24" spans="1:56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17" t="s">
        <v>106</v>
      </c>
      <c r="H24" s="17" t="s">
        <v>107</v>
      </c>
      <c r="I24" s="17" t="s">
        <v>96</v>
      </c>
      <c r="J24" s="17" t="s">
        <v>107</v>
      </c>
      <c r="K24" s="17" t="s">
        <v>501</v>
      </c>
      <c r="L24" s="17" t="s">
        <v>392</v>
      </c>
      <c r="M24" s="17" t="s">
        <v>87</v>
      </c>
      <c r="N24" s="17" t="s">
        <v>88</v>
      </c>
      <c r="O24" s="17" t="s">
        <v>88</v>
      </c>
      <c r="P24" s="17" t="s">
        <v>503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23</v>
      </c>
      <c r="Z24" s="17">
        <v>42.416641624877201</v>
      </c>
      <c r="AA24" s="16"/>
      <c r="AB24" s="16"/>
      <c r="AC24" s="16"/>
      <c r="AD24" s="16"/>
      <c r="AE24" s="16"/>
      <c r="AF24" s="16"/>
      <c r="AG24" s="16"/>
      <c r="AH24" s="17">
        <v>42.407789374934502</v>
      </c>
      <c r="AI24" s="17">
        <v>42.416641624877201</v>
      </c>
      <c r="AJ24" s="17">
        <v>42.416641624877201</v>
      </c>
      <c r="AK24" s="17">
        <v>42.416641624877201</v>
      </c>
      <c r="AL24" s="17">
        <v>1.66224990971386E-3</v>
      </c>
      <c r="AM24" s="17">
        <v>45.8398799998686</v>
      </c>
      <c r="AN24" s="17" t="s">
        <v>107</v>
      </c>
      <c r="AO24" s="17" t="s">
        <v>501</v>
      </c>
      <c r="AP24" s="17" t="s">
        <v>392</v>
      </c>
      <c r="AQ24" s="17" t="s">
        <v>87</v>
      </c>
      <c r="AR24" s="17" t="s">
        <v>88</v>
      </c>
      <c r="AS24" s="17" t="s">
        <v>88</v>
      </c>
      <c r="AT24" s="17" t="s">
        <v>503</v>
      </c>
      <c r="AU24" s="17" t="s">
        <v>90</v>
      </c>
      <c r="AV24" s="17" t="s">
        <v>495</v>
      </c>
      <c r="AW24" s="17">
        <v>1</v>
      </c>
      <c r="AX24" s="17" t="s">
        <v>496</v>
      </c>
      <c r="AY24" s="17" t="s">
        <v>61</v>
      </c>
      <c r="AZ24" s="16"/>
      <c r="BA24" s="17" t="s">
        <v>62</v>
      </c>
      <c r="BB24" s="17" t="s">
        <v>172</v>
      </c>
      <c r="BC24" s="17" t="s">
        <v>497</v>
      </c>
      <c r="BD24" s="16"/>
    </row>
    <row r="25" spans="1:56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22" t="s">
        <v>129</v>
      </c>
      <c r="H25" s="22" t="s">
        <v>72</v>
      </c>
      <c r="I25" s="22" t="s">
        <v>84</v>
      </c>
      <c r="J25" s="22" t="s">
        <v>504</v>
      </c>
      <c r="K25" s="17" t="s">
        <v>505</v>
      </c>
      <c r="L25" s="17" t="s">
        <v>214</v>
      </c>
      <c r="M25" s="17" t="s">
        <v>87</v>
      </c>
      <c r="N25" s="17" t="s">
        <v>88</v>
      </c>
      <c r="O25" s="17" t="s">
        <v>88</v>
      </c>
      <c r="P25" s="17" t="s">
        <v>506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0</v>
      </c>
      <c r="Z25" s="17">
        <v>45.8512493749149</v>
      </c>
      <c r="AA25" s="16"/>
      <c r="AB25" s="16"/>
      <c r="AC25" s="16"/>
      <c r="AD25" s="16"/>
      <c r="AE25" s="16"/>
      <c r="AF25" s="16"/>
      <c r="AG25" s="16"/>
      <c r="AH25" s="17">
        <v>45.8416809169576</v>
      </c>
      <c r="AI25" s="17">
        <v>45.8512493749149</v>
      </c>
      <c r="AJ25" s="17">
        <v>45.8512493749149</v>
      </c>
      <c r="AK25" s="17">
        <v>45.8512493749149</v>
      </c>
      <c r="AL25" s="17">
        <v>1.7066251020878599E-3</v>
      </c>
      <c r="AM25" s="17">
        <v>50.290747582912402</v>
      </c>
      <c r="AN25" s="17" t="s">
        <v>504</v>
      </c>
      <c r="AO25" s="17" t="s">
        <v>505</v>
      </c>
      <c r="AP25" s="17" t="s">
        <v>214</v>
      </c>
      <c r="AQ25" s="17" t="s">
        <v>87</v>
      </c>
      <c r="AR25" s="17" t="s">
        <v>88</v>
      </c>
      <c r="AS25" s="17" t="s">
        <v>88</v>
      </c>
      <c r="AT25" s="17" t="s">
        <v>506</v>
      </c>
      <c r="AU25" s="17" t="s">
        <v>90</v>
      </c>
      <c r="AV25" s="17" t="s">
        <v>495</v>
      </c>
      <c r="AW25" s="17">
        <v>1</v>
      </c>
      <c r="AX25" s="17" t="s">
        <v>496</v>
      </c>
      <c r="AY25" s="17" t="s">
        <v>61</v>
      </c>
      <c r="AZ25" s="16"/>
      <c r="BA25" s="17" t="s">
        <v>62</v>
      </c>
      <c r="BB25" s="17" t="s">
        <v>172</v>
      </c>
      <c r="BC25" s="17" t="s">
        <v>497</v>
      </c>
      <c r="BD25" s="16"/>
    </row>
    <row r="26" spans="1:56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22" t="s">
        <v>114</v>
      </c>
      <c r="H26" s="22" t="s">
        <v>73</v>
      </c>
      <c r="I26" s="22" t="s">
        <v>84</v>
      </c>
      <c r="J26" s="23"/>
      <c r="K26" s="17" t="s">
        <v>505</v>
      </c>
      <c r="L26" s="17" t="s">
        <v>214</v>
      </c>
      <c r="M26" s="17" t="s">
        <v>87</v>
      </c>
      <c r="N26" s="17" t="s">
        <v>88</v>
      </c>
      <c r="O26" s="17" t="s">
        <v>88</v>
      </c>
      <c r="P26" s="17" t="s">
        <v>507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14</v>
      </c>
      <c r="Z26" s="17">
        <v>50.302162416977801</v>
      </c>
      <c r="AA26" s="16"/>
      <c r="AB26" s="16"/>
      <c r="AC26" s="16"/>
      <c r="AD26" s="16"/>
      <c r="AE26" s="16"/>
      <c r="AF26" s="16"/>
      <c r="AG26" s="16"/>
      <c r="AH26" s="17">
        <v>50.293151291785797</v>
      </c>
      <c r="AI26" s="17">
        <v>50.302162416977801</v>
      </c>
      <c r="AJ26" s="17">
        <v>50.302162416977801</v>
      </c>
      <c r="AK26" s="17">
        <v>50.302162416977801</v>
      </c>
      <c r="AL26" s="17">
        <v>2.29945802129805E-3</v>
      </c>
      <c r="AM26" s="17">
        <v>53.2728587498423</v>
      </c>
      <c r="AN26" s="16"/>
      <c r="AO26" s="17" t="s">
        <v>505</v>
      </c>
      <c r="AP26" s="17" t="s">
        <v>214</v>
      </c>
      <c r="AQ26" s="17" t="s">
        <v>87</v>
      </c>
      <c r="AR26" s="17" t="s">
        <v>88</v>
      </c>
      <c r="AS26" s="17" t="s">
        <v>88</v>
      </c>
      <c r="AT26" s="17" t="s">
        <v>507</v>
      </c>
      <c r="AU26" s="17" t="s">
        <v>90</v>
      </c>
      <c r="AV26" s="17" t="s">
        <v>495</v>
      </c>
      <c r="AW26" s="17">
        <v>1</v>
      </c>
      <c r="AX26" s="17" t="s">
        <v>496</v>
      </c>
      <c r="AY26" s="17" t="s">
        <v>61</v>
      </c>
      <c r="AZ26" s="16"/>
      <c r="BA26" s="17" t="s">
        <v>62</v>
      </c>
      <c r="BB26" s="17" t="s">
        <v>172</v>
      </c>
      <c r="BC26" s="17" t="s">
        <v>497</v>
      </c>
      <c r="BD26" s="16"/>
    </row>
    <row r="27" spans="1:56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22" t="s">
        <v>91</v>
      </c>
      <c r="H27" s="22" t="s">
        <v>71</v>
      </c>
      <c r="I27" s="22" t="s">
        <v>84</v>
      </c>
      <c r="J27" s="23"/>
      <c r="K27" s="17" t="s">
        <v>505</v>
      </c>
      <c r="L27" s="17" t="s">
        <v>214</v>
      </c>
      <c r="M27" s="17" t="s">
        <v>87</v>
      </c>
      <c r="N27" s="17" t="s">
        <v>88</v>
      </c>
      <c r="O27" s="17" t="s">
        <v>88</v>
      </c>
      <c r="P27" s="17" t="s">
        <v>508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19</v>
      </c>
      <c r="Z27" s="17">
        <v>53.283818166935802</v>
      </c>
      <c r="AA27" s="16"/>
      <c r="AB27" s="16"/>
      <c r="AC27" s="16"/>
      <c r="AD27" s="16"/>
      <c r="AE27" s="16"/>
      <c r="AF27" s="16"/>
      <c r="AG27" s="16"/>
      <c r="AH27" s="17">
        <v>53.274925457779297</v>
      </c>
      <c r="AI27" s="17">
        <v>53.283818166935802</v>
      </c>
      <c r="AJ27" s="17">
        <v>53.283818166935802</v>
      </c>
      <c r="AK27" s="17">
        <v>53.283818166935802</v>
      </c>
      <c r="AL27" s="17">
        <v>1.9680422265082602E-3</v>
      </c>
      <c r="AM27" s="17">
        <v>54.905881457962103</v>
      </c>
      <c r="AN27" s="16"/>
      <c r="AO27" s="17" t="s">
        <v>505</v>
      </c>
      <c r="AP27" s="17" t="s">
        <v>214</v>
      </c>
      <c r="AQ27" s="17" t="s">
        <v>87</v>
      </c>
      <c r="AR27" s="17" t="s">
        <v>88</v>
      </c>
      <c r="AS27" s="17" t="s">
        <v>88</v>
      </c>
      <c r="AT27" s="17" t="s">
        <v>508</v>
      </c>
      <c r="AU27" s="17" t="s">
        <v>90</v>
      </c>
      <c r="AV27" s="17" t="s">
        <v>495</v>
      </c>
      <c r="AW27" s="17">
        <v>1</v>
      </c>
      <c r="AX27" s="17" t="s">
        <v>496</v>
      </c>
      <c r="AY27" s="17" t="s">
        <v>61</v>
      </c>
      <c r="AZ27" s="16"/>
      <c r="BA27" s="17" t="s">
        <v>62</v>
      </c>
      <c r="BB27" s="17" t="s">
        <v>172</v>
      </c>
      <c r="BC27" s="17" t="s">
        <v>497</v>
      </c>
      <c r="BD27" s="16"/>
    </row>
    <row r="28" spans="1:56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17" t="s">
        <v>167</v>
      </c>
      <c r="H28" s="17" t="s">
        <v>59</v>
      </c>
      <c r="I28" s="17" t="s">
        <v>84</v>
      </c>
      <c r="J28" s="17" t="s">
        <v>59</v>
      </c>
      <c r="K28" s="17" t="s">
        <v>505</v>
      </c>
      <c r="L28" s="17" t="s">
        <v>214</v>
      </c>
      <c r="M28" s="17" t="s">
        <v>87</v>
      </c>
      <c r="N28" s="17" t="s">
        <v>88</v>
      </c>
      <c r="O28" s="17" t="s">
        <v>88</v>
      </c>
      <c r="P28" s="17" t="s">
        <v>509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12</v>
      </c>
      <c r="Z28" s="17">
        <v>54.916012874804402</v>
      </c>
      <c r="AA28" s="16"/>
      <c r="AB28" s="16"/>
      <c r="AC28" s="16"/>
      <c r="AD28" s="16"/>
      <c r="AE28" s="16"/>
      <c r="AF28" s="16"/>
      <c r="AG28" s="16"/>
      <c r="AH28" s="17">
        <v>54.908198624849298</v>
      </c>
      <c r="AI28" s="17">
        <v>54.916012874804402</v>
      </c>
      <c r="AJ28" s="17">
        <v>54.916012874804402</v>
      </c>
      <c r="AK28" s="17">
        <v>54.916012874804402</v>
      </c>
      <c r="AL28" s="17">
        <v>2.2184159606695201E-3</v>
      </c>
      <c r="AM28" s="17">
        <v>58.940154749900103</v>
      </c>
      <c r="AN28" s="17" t="s">
        <v>59</v>
      </c>
      <c r="AO28" s="17" t="s">
        <v>505</v>
      </c>
      <c r="AP28" s="17" t="s">
        <v>214</v>
      </c>
      <c r="AQ28" s="17" t="s">
        <v>87</v>
      </c>
      <c r="AR28" s="17" t="s">
        <v>88</v>
      </c>
      <c r="AS28" s="17" t="s">
        <v>88</v>
      </c>
      <c r="AT28" s="17" t="s">
        <v>509</v>
      </c>
      <c r="AU28" s="17" t="s">
        <v>90</v>
      </c>
      <c r="AV28" s="17" t="s">
        <v>495</v>
      </c>
      <c r="AW28" s="17">
        <v>1</v>
      </c>
      <c r="AX28" s="17" t="s">
        <v>496</v>
      </c>
      <c r="AY28" s="17" t="s">
        <v>61</v>
      </c>
      <c r="AZ28" s="16"/>
      <c r="BA28" s="17" t="s">
        <v>62</v>
      </c>
      <c r="BB28" s="17" t="s">
        <v>172</v>
      </c>
      <c r="BC28" s="17" t="s">
        <v>497</v>
      </c>
      <c r="BD28" s="16"/>
    </row>
    <row r="29" spans="1:56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169</v>
      </c>
      <c r="H29" s="22" t="s">
        <v>77</v>
      </c>
      <c r="I29" s="22" t="s">
        <v>84</v>
      </c>
      <c r="J29" s="23"/>
      <c r="K29" s="17" t="s">
        <v>505</v>
      </c>
      <c r="L29" s="17" t="s">
        <v>214</v>
      </c>
      <c r="M29" s="17" t="s">
        <v>87</v>
      </c>
      <c r="N29" s="17" t="s">
        <v>88</v>
      </c>
      <c r="O29" s="17" t="s">
        <v>88</v>
      </c>
      <c r="P29" s="17" t="s">
        <v>510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10</v>
      </c>
      <c r="Z29" s="17">
        <v>58.951691582799</v>
      </c>
      <c r="AA29" s="16"/>
      <c r="AB29" s="16"/>
      <c r="AC29" s="16"/>
      <c r="AD29" s="16"/>
      <c r="AE29" s="16"/>
      <c r="AF29" s="16"/>
      <c r="AG29" s="16"/>
      <c r="AH29" s="17">
        <v>58.942983666900503</v>
      </c>
      <c r="AI29" s="17">
        <v>58.951691582799</v>
      </c>
      <c r="AJ29" s="17">
        <v>58.951691582799</v>
      </c>
      <c r="AK29" s="17">
        <v>58.951691582799</v>
      </c>
      <c r="AL29" s="17">
        <v>2.7189159300178298E-3</v>
      </c>
      <c r="AM29" s="17">
        <v>60.088572207838297</v>
      </c>
      <c r="AN29" s="16"/>
      <c r="AO29" s="17" t="s">
        <v>505</v>
      </c>
      <c r="AP29" s="17" t="s">
        <v>214</v>
      </c>
      <c r="AQ29" s="17" t="s">
        <v>87</v>
      </c>
      <c r="AR29" s="17" t="s">
        <v>88</v>
      </c>
      <c r="AS29" s="17" t="s">
        <v>88</v>
      </c>
      <c r="AT29" s="17" t="s">
        <v>510</v>
      </c>
      <c r="AU29" s="17" t="s">
        <v>90</v>
      </c>
      <c r="AV29" s="17" t="s">
        <v>495</v>
      </c>
      <c r="AW29" s="17">
        <v>1</v>
      </c>
      <c r="AX29" s="17" t="s">
        <v>496</v>
      </c>
      <c r="AY29" s="17" t="s">
        <v>61</v>
      </c>
      <c r="AZ29" s="16"/>
      <c r="BA29" s="17" t="s">
        <v>62</v>
      </c>
      <c r="BB29" s="17" t="s">
        <v>172</v>
      </c>
      <c r="BC29" s="17" t="s">
        <v>497</v>
      </c>
      <c r="BD29" s="16"/>
    </row>
    <row r="30" spans="1:56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17" t="s">
        <v>123</v>
      </c>
      <c r="H30" s="17" t="s">
        <v>78</v>
      </c>
      <c r="I30" s="17" t="s">
        <v>84</v>
      </c>
      <c r="J30" s="17" t="s">
        <v>78</v>
      </c>
      <c r="K30" s="17" t="s">
        <v>505</v>
      </c>
      <c r="L30" s="17" t="s">
        <v>214</v>
      </c>
      <c r="M30" s="17" t="s">
        <v>87</v>
      </c>
      <c r="N30" s="17" t="s">
        <v>88</v>
      </c>
      <c r="O30" s="17" t="s">
        <v>88</v>
      </c>
      <c r="P30" s="17" t="s">
        <v>511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5</v>
      </c>
      <c r="Z30" s="17">
        <v>60.0977185829543</v>
      </c>
      <c r="AA30" s="16"/>
      <c r="AB30" s="16"/>
      <c r="AC30" s="16"/>
      <c r="AD30" s="16"/>
      <c r="AE30" s="16"/>
      <c r="AF30" s="16"/>
      <c r="AG30" s="16"/>
      <c r="AH30" s="17">
        <v>60.090243291808299</v>
      </c>
      <c r="AI30" s="17">
        <v>60.0977185829543</v>
      </c>
      <c r="AJ30" s="17">
        <v>60.0977185829543</v>
      </c>
      <c r="AK30" s="17">
        <v>60.0977185829543</v>
      </c>
      <c r="AL30" s="17">
        <v>1.5738329384475901E-3</v>
      </c>
      <c r="AM30" s="17">
        <v>67.773202374810396</v>
      </c>
      <c r="AN30" s="17" t="s">
        <v>78</v>
      </c>
      <c r="AO30" s="17" t="s">
        <v>505</v>
      </c>
      <c r="AP30" s="17" t="s">
        <v>214</v>
      </c>
      <c r="AQ30" s="17" t="s">
        <v>87</v>
      </c>
      <c r="AR30" s="17" t="s">
        <v>88</v>
      </c>
      <c r="AS30" s="17" t="s">
        <v>88</v>
      </c>
      <c r="AT30" s="17" t="s">
        <v>511</v>
      </c>
      <c r="AU30" s="17" t="s">
        <v>90</v>
      </c>
      <c r="AV30" s="17" t="s">
        <v>495</v>
      </c>
      <c r="AW30" s="17">
        <v>1</v>
      </c>
      <c r="AX30" s="17" t="s">
        <v>496</v>
      </c>
      <c r="AY30" s="17" t="s">
        <v>61</v>
      </c>
      <c r="AZ30" s="16"/>
      <c r="BA30" s="17" t="s">
        <v>62</v>
      </c>
      <c r="BB30" s="17" t="s">
        <v>172</v>
      </c>
      <c r="BC30" s="17" t="s">
        <v>497</v>
      </c>
      <c r="BD30" s="16"/>
    </row>
    <row r="31" spans="1:56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22" t="s">
        <v>120</v>
      </c>
      <c r="H31" s="22" t="s">
        <v>121</v>
      </c>
      <c r="I31" s="22" t="s">
        <v>96</v>
      </c>
      <c r="J31" s="23"/>
      <c r="K31" s="17" t="s">
        <v>505</v>
      </c>
      <c r="L31" s="17" t="s">
        <v>214</v>
      </c>
      <c r="M31" s="17" t="s">
        <v>87</v>
      </c>
      <c r="N31" s="17" t="s">
        <v>88</v>
      </c>
      <c r="O31" s="17" t="s">
        <v>88</v>
      </c>
      <c r="P31" s="17" t="s">
        <v>512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24</v>
      </c>
      <c r="Z31" s="17">
        <v>67.784538999898402</v>
      </c>
      <c r="AA31" s="16"/>
      <c r="AB31" s="16"/>
      <c r="AC31" s="16"/>
      <c r="AD31" s="16"/>
      <c r="AE31" s="16"/>
      <c r="AF31" s="16"/>
      <c r="AG31" s="16"/>
      <c r="AH31" s="17">
        <v>67.775249041849804</v>
      </c>
      <c r="AI31" s="17">
        <v>67.784538999898402</v>
      </c>
      <c r="AJ31" s="17">
        <v>67.784538999898402</v>
      </c>
      <c r="AK31" s="17">
        <v>67.784538999898402</v>
      </c>
      <c r="AL31" s="17">
        <v>1.9475421868264699E-3</v>
      </c>
      <c r="AM31" s="17">
        <v>74.739401625003694</v>
      </c>
      <c r="AN31" s="16"/>
      <c r="AO31" s="17" t="s">
        <v>505</v>
      </c>
      <c r="AP31" s="17" t="s">
        <v>214</v>
      </c>
      <c r="AQ31" s="17" t="s">
        <v>87</v>
      </c>
      <c r="AR31" s="17" t="s">
        <v>88</v>
      </c>
      <c r="AS31" s="17" t="s">
        <v>88</v>
      </c>
      <c r="AT31" s="17" t="s">
        <v>512</v>
      </c>
      <c r="AU31" s="17" t="s">
        <v>90</v>
      </c>
      <c r="AV31" s="17" t="s">
        <v>495</v>
      </c>
      <c r="AW31" s="17">
        <v>1</v>
      </c>
      <c r="AX31" s="17" t="s">
        <v>496</v>
      </c>
      <c r="AY31" s="17" t="s">
        <v>61</v>
      </c>
      <c r="AZ31" s="16"/>
      <c r="BA31" s="17" t="s">
        <v>62</v>
      </c>
      <c r="BB31" s="17" t="s">
        <v>172</v>
      </c>
      <c r="BC31" s="17" t="s">
        <v>497</v>
      </c>
      <c r="BD31" s="16"/>
    </row>
    <row r="32" spans="1:56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104</v>
      </c>
      <c r="H32" s="17" t="s">
        <v>70</v>
      </c>
      <c r="I32" s="17" t="s">
        <v>84</v>
      </c>
      <c r="J32" s="17" t="s">
        <v>70</v>
      </c>
      <c r="K32" s="17" t="s">
        <v>505</v>
      </c>
      <c r="L32" s="17" t="s">
        <v>214</v>
      </c>
      <c r="M32" s="17" t="s">
        <v>87</v>
      </c>
      <c r="N32" s="17" t="s">
        <v>88</v>
      </c>
      <c r="O32" s="17" t="s">
        <v>88</v>
      </c>
      <c r="P32" s="17" t="s">
        <v>513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2</v>
      </c>
      <c r="Z32" s="17">
        <v>74.7499029999599</v>
      </c>
      <c r="AA32" s="16"/>
      <c r="AB32" s="16"/>
      <c r="AC32" s="16"/>
      <c r="AD32" s="16"/>
      <c r="AE32" s="16"/>
      <c r="AF32" s="16"/>
      <c r="AG32" s="16"/>
      <c r="AH32" s="17">
        <v>74.741493667010204</v>
      </c>
      <c r="AI32" s="17">
        <v>74.7499029999599</v>
      </c>
      <c r="AJ32" s="17">
        <v>74.7499029999599</v>
      </c>
      <c r="AK32" s="17">
        <v>74.7499029999599</v>
      </c>
      <c r="AL32" s="17">
        <v>1.9946249667555098E-3</v>
      </c>
      <c r="AM32" s="17">
        <v>79.206432374892799</v>
      </c>
      <c r="AN32" s="17" t="s">
        <v>70</v>
      </c>
      <c r="AO32" s="17" t="s">
        <v>505</v>
      </c>
      <c r="AP32" s="17" t="s">
        <v>214</v>
      </c>
      <c r="AQ32" s="17" t="s">
        <v>87</v>
      </c>
      <c r="AR32" s="17" t="s">
        <v>88</v>
      </c>
      <c r="AS32" s="17" t="s">
        <v>88</v>
      </c>
      <c r="AT32" s="17" t="s">
        <v>513</v>
      </c>
      <c r="AU32" s="17" t="s">
        <v>90</v>
      </c>
      <c r="AV32" s="17" t="s">
        <v>495</v>
      </c>
      <c r="AW32" s="17">
        <v>1</v>
      </c>
      <c r="AX32" s="17" t="s">
        <v>496</v>
      </c>
      <c r="AY32" s="17" t="s">
        <v>61</v>
      </c>
      <c r="AZ32" s="16"/>
      <c r="BA32" s="17" t="s">
        <v>62</v>
      </c>
      <c r="BB32" s="17" t="s">
        <v>172</v>
      </c>
      <c r="BC32" s="17" t="s">
        <v>497</v>
      </c>
      <c r="BD32" s="16"/>
    </row>
    <row r="33" spans="1:56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22" t="s">
        <v>152</v>
      </c>
      <c r="H33" s="22" t="s">
        <v>153</v>
      </c>
      <c r="I33" s="22" t="s">
        <v>96</v>
      </c>
      <c r="J33" s="23"/>
      <c r="K33" s="17" t="s">
        <v>505</v>
      </c>
      <c r="L33" s="17" t="s">
        <v>214</v>
      </c>
      <c r="M33" s="17" t="s">
        <v>87</v>
      </c>
      <c r="N33" s="17" t="s">
        <v>88</v>
      </c>
      <c r="O33" s="17" t="s">
        <v>88</v>
      </c>
      <c r="P33" s="17" t="s">
        <v>514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20</v>
      </c>
      <c r="Z33" s="17">
        <v>79.218249541940196</v>
      </c>
      <c r="AA33" s="16"/>
      <c r="AB33" s="16"/>
      <c r="AC33" s="16"/>
      <c r="AD33" s="16"/>
      <c r="AE33" s="16"/>
      <c r="AF33" s="16"/>
      <c r="AG33" s="16"/>
      <c r="AH33" s="17">
        <v>79.208739207824706</v>
      </c>
      <c r="AI33" s="17">
        <v>79.218249541940196</v>
      </c>
      <c r="AJ33" s="17">
        <v>79.218249541940196</v>
      </c>
      <c r="AK33" s="17">
        <v>79.218249541940196</v>
      </c>
      <c r="AL33" s="17">
        <v>2.2154161706566802E-3</v>
      </c>
      <c r="AM33" s="17">
        <v>81.639204416889697</v>
      </c>
      <c r="AN33" s="16"/>
      <c r="AO33" s="17" t="s">
        <v>505</v>
      </c>
      <c r="AP33" s="17" t="s">
        <v>214</v>
      </c>
      <c r="AQ33" s="17" t="s">
        <v>87</v>
      </c>
      <c r="AR33" s="17" t="s">
        <v>88</v>
      </c>
      <c r="AS33" s="17" t="s">
        <v>88</v>
      </c>
      <c r="AT33" s="17" t="s">
        <v>514</v>
      </c>
      <c r="AU33" s="17" t="s">
        <v>90</v>
      </c>
      <c r="AV33" s="17" t="s">
        <v>495</v>
      </c>
      <c r="AW33" s="17">
        <v>1</v>
      </c>
      <c r="AX33" s="17" t="s">
        <v>496</v>
      </c>
      <c r="AY33" s="17" t="s">
        <v>61</v>
      </c>
      <c r="AZ33" s="16"/>
      <c r="BA33" s="17" t="s">
        <v>62</v>
      </c>
      <c r="BB33" s="17" t="s">
        <v>172</v>
      </c>
      <c r="BC33" s="17" t="s">
        <v>497</v>
      </c>
      <c r="BD33" s="16"/>
    </row>
    <row r="34" spans="1:56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22" t="s">
        <v>118</v>
      </c>
      <c r="H34" s="22" t="s">
        <v>75</v>
      </c>
      <c r="I34" s="22" t="s">
        <v>84</v>
      </c>
      <c r="J34" s="23"/>
      <c r="K34" s="17" t="s">
        <v>505</v>
      </c>
      <c r="L34" s="17" t="s">
        <v>214</v>
      </c>
      <c r="M34" s="17" t="s">
        <v>87</v>
      </c>
      <c r="N34" s="17" t="s">
        <v>88</v>
      </c>
      <c r="O34" s="17" t="s">
        <v>88</v>
      </c>
      <c r="P34" s="17" t="s">
        <v>515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7</v>
      </c>
      <c r="Z34" s="17">
        <v>81.663637582911207</v>
      </c>
      <c r="AA34" s="16"/>
      <c r="AB34" s="16"/>
      <c r="AC34" s="16"/>
      <c r="AD34" s="16"/>
      <c r="AE34" s="16"/>
      <c r="AF34" s="16"/>
      <c r="AG34" s="16"/>
      <c r="AH34" s="17">
        <v>81.640780166955693</v>
      </c>
      <c r="AI34" s="17">
        <v>81.663637582911207</v>
      </c>
      <c r="AJ34" s="17">
        <v>81.663637582911207</v>
      </c>
      <c r="AK34" s="17">
        <v>81.663637582911207</v>
      </c>
      <c r="AL34" s="17">
        <v>1.48650002665818E-3</v>
      </c>
      <c r="AM34" s="17">
        <v>84.772203291999205</v>
      </c>
      <c r="AN34" s="16"/>
      <c r="AO34" s="17" t="s">
        <v>505</v>
      </c>
      <c r="AP34" s="17" t="s">
        <v>214</v>
      </c>
      <c r="AQ34" s="17" t="s">
        <v>87</v>
      </c>
      <c r="AR34" s="17" t="s">
        <v>88</v>
      </c>
      <c r="AS34" s="17" t="s">
        <v>88</v>
      </c>
      <c r="AT34" s="17" t="s">
        <v>515</v>
      </c>
      <c r="AU34" s="17" t="s">
        <v>90</v>
      </c>
      <c r="AV34" s="17" t="s">
        <v>495</v>
      </c>
      <c r="AW34" s="17">
        <v>1</v>
      </c>
      <c r="AX34" s="17" t="s">
        <v>496</v>
      </c>
      <c r="AY34" s="17" t="s">
        <v>61</v>
      </c>
      <c r="AZ34" s="16"/>
      <c r="BA34" s="17" t="s">
        <v>62</v>
      </c>
      <c r="BB34" s="17" t="s">
        <v>172</v>
      </c>
      <c r="BC34" s="17" t="s">
        <v>497</v>
      </c>
      <c r="BD34" s="16"/>
    </row>
    <row r="35" spans="1:56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131</v>
      </c>
      <c r="H35" s="22" t="s">
        <v>76</v>
      </c>
      <c r="I35" s="22" t="s">
        <v>84</v>
      </c>
      <c r="J35" s="22" t="s">
        <v>347</v>
      </c>
      <c r="K35" s="17" t="s">
        <v>505</v>
      </c>
      <c r="L35" s="17" t="s">
        <v>214</v>
      </c>
      <c r="M35" s="17" t="s">
        <v>87</v>
      </c>
      <c r="N35" s="17" t="s">
        <v>88</v>
      </c>
      <c r="O35" s="17" t="s">
        <v>88</v>
      </c>
      <c r="P35" s="17" t="s">
        <v>516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6</v>
      </c>
      <c r="Z35" s="17">
        <v>84.796987666981295</v>
      </c>
      <c r="AA35" s="16"/>
      <c r="AB35" s="16"/>
      <c r="AC35" s="16"/>
      <c r="AD35" s="16"/>
      <c r="AE35" s="16"/>
      <c r="AF35" s="16"/>
      <c r="AG35" s="16"/>
      <c r="AH35" s="17">
        <v>84.774154332932099</v>
      </c>
      <c r="AI35" s="17">
        <v>84.796987666981295</v>
      </c>
      <c r="AJ35" s="17">
        <v>84.796987666981295</v>
      </c>
      <c r="AK35" s="17">
        <v>84.796987666981295</v>
      </c>
      <c r="AL35" s="17">
        <v>1.87125010415912E-3</v>
      </c>
      <c r="AM35" s="17">
        <v>89.356411541812093</v>
      </c>
      <c r="AN35" s="17" t="s">
        <v>347</v>
      </c>
      <c r="AO35" s="17" t="s">
        <v>505</v>
      </c>
      <c r="AP35" s="17" t="s">
        <v>214</v>
      </c>
      <c r="AQ35" s="17" t="s">
        <v>87</v>
      </c>
      <c r="AR35" s="17" t="s">
        <v>88</v>
      </c>
      <c r="AS35" s="17" t="s">
        <v>88</v>
      </c>
      <c r="AT35" s="17" t="s">
        <v>516</v>
      </c>
      <c r="AU35" s="17" t="s">
        <v>90</v>
      </c>
      <c r="AV35" s="17" t="s">
        <v>495</v>
      </c>
      <c r="AW35" s="17">
        <v>1</v>
      </c>
      <c r="AX35" s="17" t="s">
        <v>496</v>
      </c>
      <c r="AY35" s="17" t="s">
        <v>61</v>
      </c>
      <c r="AZ35" s="16"/>
      <c r="BA35" s="17" t="s">
        <v>62</v>
      </c>
      <c r="BB35" s="17" t="s">
        <v>172</v>
      </c>
      <c r="BC35" s="17" t="s">
        <v>497</v>
      </c>
      <c r="BD35" s="16"/>
    </row>
    <row r="36" spans="1:56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17" t="s">
        <v>133</v>
      </c>
      <c r="H36" s="17" t="s">
        <v>64</v>
      </c>
      <c r="I36" s="17" t="s">
        <v>84</v>
      </c>
      <c r="J36" s="17" t="s">
        <v>64</v>
      </c>
      <c r="K36" s="17" t="s">
        <v>505</v>
      </c>
      <c r="L36" s="17" t="s">
        <v>214</v>
      </c>
      <c r="M36" s="17" t="s">
        <v>87</v>
      </c>
      <c r="N36" s="17" t="s">
        <v>88</v>
      </c>
      <c r="O36" s="17" t="s">
        <v>88</v>
      </c>
      <c r="P36" s="17" t="s">
        <v>517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18</v>
      </c>
      <c r="Z36" s="17">
        <v>89.367938374867705</v>
      </c>
      <c r="AA36" s="16"/>
      <c r="AB36" s="16"/>
      <c r="AC36" s="16"/>
      <c r="AD36" s="16"/>
      <c r="AE36" s="16"/>
      <c r="AF36" s="16"/>
      <c r="AG36" s="16"/>
      <c r="AH36" s="17">
        <v>89.358789291931302</v>
      </c>
      <c r="AI36" s="17">
        <v>89.367938374867705</v>
      </c>
      <c r="AJ36" s="17">
        <v>89.367938374867705</v>
      </c>
      <c r="AK36" s="17">
        <v>89.367938374867705</v>
      </c>
      <c r="AL36" s="17">
        <v>2.2718750406056599E-3</v>
      </c>
      <c r="AM36" s="17">
        <v>94.0896869578864</v>
      </c>
      <c r="AN36" s="17" t="s">
        <v>64</v>
      </c>
      <c r="AO36" s="17" t="s">
        <v>505</v>
      </c>
      <c r="AP36" s="17" t="s">
        <v>214</v>
      </c>
      <c r="AQ36" s="17" t="s">
        <v>87</v>
      </c>
      <c r="AR36" s="17" t="s">
        <v>88</v>
      </c>
      <c r="AS36" s="17" t="s">
        <v>88</v>
      </c>
      <c r="AT36" s="17" t="s">
        <v>517</v>
      </c>
      <c r="AU36" s="17" t="s">
        <v>90</v>
      </c>
      <c r="AV36" s="17" t="s">
        <v>495</v>
      </c>
      <c r="AW36" s="17">
        <v>1</v>
      </c>
      <c r="AX36" s="17" t="s">
        <v>496</v>
      </c>
      <c r="AY36" s="17" t="s">
        <v>61</v>
      </c>
      <c r="AZ36" s="16"/>
      <c r="BA36" s="17" t="s">
        <v>62</v>
      </c>
      <c r="BB36" s="17" t="s">
        <v>172</v>
      </c>
      <c r="BC36" s="17" t="s">
        <v>497</v>
      </c>
      <c r="BD36" s="16"/>
    </row>
    <row r="37" spans="1:56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22" t="s">
        <v>94</v>
      </c>
      <c r="H37" s="22" t="s">
        <v>95</v>
      </c>
      <c r="I37" s="22" t="s">
        <v>96</v>
      </c>
      <c r="J37" s="23"/>
      <c r="K37" s="17" t="s">
        <v>505</v>
      </c>
      <c r="L37" s="17" t="s">
        <v>214</v>
      </c>
      <c r="M37" s="17" t="s">
        <v>87</v>
      </c>
      <c r="N37" s="17" t="s">
        <v>88</v>
      </c>
      <c r="O37" s="17" t="s">
        <v>88</v>
      </c>
      <c r="P37" s="17" t="s">
        <v>518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22</v>
      </c>
      <c r="Z37" s="17">
        <v>94.101058082887903</v>
      </c>
      <c r="AA37" s="16"/>
      <c r="AB37" s="16"/>
      <c r="AC37" s="16"/>
      <c r="AD37" s="16"/>
      <c r="AE37" s="16"/>
      <c r="AF37" s="16"/>
      <c r="AG37" s="16"/>
      <c r="AH37" s="17">
        <v>94.091742707882105</v>
      </c>
      <c r="AI37" s="17">
        <v>94.101058082887903</v>
      </c>
      <c r="AJ37" s="17">
        <v>94.101058082887903</v>
      </c>
      <c r="AK37" s="17">
        <v>94.101058082887903</v>
      </c>
      <c r="AL37" s="17">
        <v>1.96891697123647E-3</v>
      </c>
      <c r="AM37" s="17">
        <v>96.8887777079362</v>
      </c>
      <c r="AN37" s="16"/>
      <c r="AO37" s="17" t="s">
        <v>505</v>
      </c>
      <c r="AP37" s="17" t="s">
        <v>214</v>
      </c>
      <c r="AQ37" s="17" t="s">
        <v>87</v>
      </c>
      <c r="AR37" s="17" t="s">
        <v>88</v>
      </c>
      <c r="AS37" s="17" t="s">
        <v>88</v>
      </c>
      <c r="AT37" s="17" t="s">
        <v>518</v>
      </c>
      <c r="AU37" s="17" t="s">
        <v>90</v>
      </c>
      <c r="AV37" s="17" t="s">
        <v>495</v>
      </c>
      <c r="AW37" s="17">
        <v>1</v>
      </c>
      <c r="AX37" s="17" t="s">
        <v>496</v>
      </c>
      <c r="AY37" s="17" t="s">
        <v>61</v>
      </c>
      <c r="AZ37" s="16"/>
      <c r="BA37" s="17" t="s">
        <v>62</v>
      </c>
      <c r="BB37" s="17" t="s">
        <v>172</v>
      </c>
      <c r="BC37" s="17" t="s">
        <v>497</v>
      </c>
      <c r="BD37" s="16"/>
    </row>
    <row r="38" spans="1:56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17" t="s">
        <v>125</v>
      </c>
      <c r="H38" s="17" t="s">
        <v>65</v>
      </c>
      <c r="I38" s="17" t="s">
        <v>84</v>
      </c>
      <c r="J38" s="17" t="s">
        <v>65</v>
      </c>
      <c r="K38" s="17" t="s">
        <v>505</v>
      </c>
      <c r="L38" s="17" t="s">
        <v>214</v>
      </c>
      <c r="M38" s="17" t="s">
        <v>87</v>
      </c>
      <c r="N38" s="17" t="s">
        <v>88</v>
      </c>
      <c r="O38" s="17" t="s">
        <v>88</v>
      </c>
      <c r="P38" s="17" t="s">
        <v>519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11</v>
      </c>
      <c r="Z38" s="17">
        <v>96.913617707788902</v>
      </c>
      <c r="AA38" s="16"/>
      <c r="AB38" s="16"/>
      <c r="AC38" s="16"/>
      <c r="AD38" s="16"/>
      <c r="AE38" s="16"/>
      <c r="AF38" s="16"/>
      <c r="AG38" s="16"/>
      <c r="AH38" s="17">
        <v>96.890730916988105</v>
      </c>
      <c r="AI38" s="17">
        <v>96.913617707788902</v>
      </c>
      <c r="AJ38" s="17">
        <v>96.913617707788902</v>
      </c>
      <c r="AK38" s="17">
        <v>96.913617707788902</v>
      </c>
      <c r="AL38" s="17">
        <v>1.8565419595688601E-3</v>
      </c>
      <c r="AM38" s="17">
        <v>101.18990941694901</v>
      </c>
      <c r="AN38" s="17" t="s">
        <v>65</v>
      </c>
      <c r="AO38" s="17" t="s">
        <v>505</v>
      </c>
      <c r="AP38" s="17" t="s">
        <v>214</v>
      </c>
      <c r="AQ38" s="17" t="s">
        <v>87</v>
      </c>
      <c r="AR38" s="17" t="s">
        <v>88</v>
      </c>
      <c r="AS38" s="17" t="s">
        <v>88</v>
      </c>
      <c r="AT38" s="17" t="s">
        <v>519</v>
      </c>
      <c r="AU38" s="17" t="s">
        <v>90</v>
      </c>
      <c r="AV38" s="17" t="s">
        <v>495</v>
      </c>
      <c r="AW38" s="17">
        <v>1</v>
      </c>
      <c r="AX38" s="17" t="s">
        <v>496</v>
      </c>
      <c r="AY38" s="17" t="s">
        <v>61</v>
      </c>
      <c r="AZ38" s="16"/>
      <c r="BA38" s="17" t="s">
        <v>62</v>
      </c>
      <c r="BB38" s="17" t="s">
        <v>172</v>
      </c>
      <c r="BC38" s="17" t="s">
        <v>497</v>
      </c>
      <c r="BD38" s="16"/>
    </row>
    <row r="39" spans="1:56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17" t="s">
        <v>83</v>
      </c>
      <c r="H39" s="17" t="s">
        <v>82</v>
      </c>
      <c r="I39" s="17" t="s">
        <v>84</v>
      </c>
      <c r="J39" s="17" t="s">
        <v>82</v>
      </c>
      <c r="K39" s="17" t="s">
        <v>505</v>
      </c>
      <c r="L39" s="17" t="s">
        <v>214</v>
      </c>
      <c r="M39" s="17" t="s">
        <v>87</v>
      </c>
      <c r="N39" s="17" t="s">
        <v>88</v>
      </c>
      <c r="O39" s="17" t="s">
        <v>88</v>
      </c>
      <c r="P39" s="17" t="s">
        <v>520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9</v>
      </c>
      <c r="Z39" s="17">
        <v>101.201482124859</v>
      </c>
      <c r="AA39" s="16"/>
      <c r="AB39" s="16"/>
      <c r="AC39" s="16"/>
      <c r="AD39" s="16"/>
      <c r="AE39" s="16"/>
      <c r="AF39" s="16"/>
      <c r="AG39" s="16"/>
      <c r="AH39" s="17">
        <v>101.192183582811</v>
      </c>
      <c r="AI39" s="17">
        <v>101.201482124859</v>
      </c>
      <c r="AJ39" s="17">
        <v>101.201482124859</v>
      </c>
      <c r="AK39" s="17">
        <v>101.201482124859</v>
      </c>
      <c r="AL39" s="17">
        <v>2.1822920534759799E-3</v>
      </c>
      <c r="AM39" s="17">
        <v>103.73987499997</v>
      </c>
      <c r="AN39" s="17" t="s">
        <v>82</v>
      </c>
      <c r="AO39" s="17" t="s">
        <v>505</v>
      </c>
      <c r="AP39" s="17" t="s">
        <v>214</v>
      </c>
      <c r="AQ39" s="17" t="s">
        <v>87</v>
      </c>
      <c r="AR39" s="17" t="s">
        <v>88</v>
      </c>
      <c r="AS39" s="17" t="s">
        <v>88</v>
      </c>
      <c r="AT39" s="17" t="s">
        <v>520</v>
      </c>
      <c r="AU39" s="17" t="s">
        <v>90</v>
      </c>
      <c r="AV39" s="17" t="s">
        <v>495</v>
      </c>
      <c r="AW39" s="17">
        <v>1</v>
      </c>
      <c r="AX39" s="17" t="s">
        <v>496</v>
      </c>
      <c r="AY39" s="17" t="s">
        <v>61</v>
      </c>
      <c r="AZ39" s="16"/>
      <c r="BA39" s="17" t="s">
        <v>62</v>
      </c>
      <c r="BB39" s="17" t="s">
        <v>172</v>
      </c>
      <c r="BC39" s="17" t="s">
        <v>497</v>
      </c>
      <c r="BD39" s="16"/>
    </row>
    <row r="40" spans="1:56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22" t="s">
        <v>157</v>
      </c>
      <c r="H40" s="22" t="s">
        <v>66</v>
      </c>
      <c r="I40" s="22" t="s">
        <v>84</v>
      </c>
      <c r="J40" s="23"/>
      <c r="K40" s="17" t="s">
        <v>521</v>
      </c>
      <c r="L40" s="17" t="s">
        <v>256</v>
      </c>
      <c r="M40" s="17" t="s">
        <v>87</v>
      </c>
      <c r="N40" s="17" t="s">
        <v>88</v>
      </c>
      <c r="O40" s="17" t="s">
        <v>88</v>
      </c>
      <c r="P40" s="17" t="s">
        <v>522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1</v>
      </c>
      <c r="Z40" s="17">
        <v>103.751442292007</v>
      </c>
      <c r="AA40" s="16"/>
      <c r="AB40" s="16"/>
      <c r="AC40" s="16"/>
      <c r="AD40" s="16"/>
      <c r="AE40" s="16"/>
      <c r="AF40" s="16"/>
      <c r="AG40" s="16"/>
      <c r="AH40" s="17">
        <v>103.742234916892</v>
      </c>
      <c r="AI40" s="17">
        <v>103.751442292007</v>
      </c>
      <c r="AJ40" s="17">
        <v>103.751442292007</v>
      </c>
      <c r="AK40" s="17">
        <v>103.751442292007</v>
      </c>
      <c r="AL40" s="17">
        <v>2.2657909430563502E-3</v>
      </c>
      <c r="AM40" s="17">
        <v>105.05486024986</v>
      </c>
      <c r="AN40" s="16"/>
      <c r="AO40" s="17" t="s">
        <v>521</v>
      </c>
      <c r="AP40" s="17" t="s">
        <v>256</v>
      </c>
      <c r="AQ40" s="17" t="s">
        <v>87</v>
      </c>
      <c r="AR40" s="17" t="s">
        <v>88</v>
      </c>
      <c r="AS40" s="17" t="s">
        <v>88</v>
      </c>
      <c r="AT40" s="17" t="s">
        <v>522</v>
      </c>
      <c r="AU40" s="17" t="s">
        <v>90</v>
      </c>
      <c r="AV40" s="17" t="s">
        <v>495</v>
      </c>
      <c r="AW40" s="17">
        <v>1</v>
      </c>
      <c r="AX40" s="17" t="s">
        <v>496</v>
      </c>
      <c r="AY40" s="17" t="s">
        <v>61</v>
      </c>
      <c r="AZ40" s="16"/>
      <c r="BA40" s="17" t="s">
        <v>62</v>
      </c>
      <c r="BB40" s="17" t="s">
        <v>172</v>
      </c>
      <c r="BC40" s="17" t="s">
        <v>497</v>
      </c>
      <c r="BD40" s="16"/>
    </row>
    <row r="41" spans="1:56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138</v>
      </c>
      <c r="H41" s="22" t="s">
        <v>139</v>
      </c>
      <c r="I41" s="22" t="s">
        <v>96</v>
      </c>
      <c r="J41" s="22" t="s">
        <v>201</v>
      </c>
      <c r="K41" s="17" t="s">
        <v>521</v>
      </c>
      <c r="L41" s="17" t="s">
        <v>256</v>
      </c>
      <c r="M41" s="17" t="s">
        <v>87</v>
      </c>
      <c r="N41" s="17" t="s">
        <v>88</v>
      </c>
      <c r="O41" s="17" t="s">
        <v>88</v>
      </c>
      <c r="P41" s="17" t="s">
        <v>523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21</v>
      </c>
      <c r="Z41" s="17">
        <v>105.064503207803</v>
      </c>
      <c r="AA41" s="16"/>
      <c r="AB41" s="16"/>
      <c r="AC41" s="16"/>
      <c r="AD41" s="16"/>
      <c r="AE41" s="16"/>
      <c r="AF41" s="16"/>
      <c r="AG41" s="16"/>
      <c r="AH41" s="17">
        <v>105.056508124806</v>
      </c>
      <c r="AI41" s="17">
        <v>105.064503207803</v>
      </c>
      <c r="AJ41" s="17">
        <v>105.064503207803</v>
      </c>
      <c r="AK41" s="17">
        <v>105.064503207803</v>
      </c>
      <c r="AL41" s="17">
        <v>1.57358287833631E-3</v>
      </c>
      <c r="AM41" s="17">
        <v>108.722811916843</v>
      </c>
      <c r="AN41" s="17" t="s">
        <v>201</v>
      </c>
      <c r="AO41" s="17" t="s">
        <v>521</v>
      </c>
      <c r="AP41" s="17" t="s">
        <v>256</v>
      </c>
      <c r="AQ41" s="17" t="s">
        <v>87</v>
      </c>
      <c r="AR41" s="17" t="s">
        <v>88</v>
      </c>
      <c r="AS41" s="17" t="s">
        <v>88</v>
      </c>
      <c r="AT41" s="17" t="s">
        <v>523</v>
      </c>
      <c r="AU41" s="17" t="s">
        <v>90</v>
      </c>
      <c r="AV41" s="17" t="s">
        <v>495</v>
      </c>
      <c r="AW41" s="17">
        <v>1</v>
      </c>
      <c r="AX41" s="17" t="s">
        <v>496</v>
      </c>
      <c r="AY41" s="17" t="s">
        <v>61</v>
      </c>
      <c r="AZ41" s="16"/>
      <c r="BA41" s="17" t="s">
        <v>62</v>
      </c>
      <c r="BB41" s="17" t="s">
        <v>172</v>
      </c>
      <c r="BC41" s="17" t="s">
        <v>497</v>
      </c>
      <c r="BD41" s="16"/>
    </row>
    <row r="42" spans="1:56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148</v>
      </c>
      <c r="H42" s="22" t="s">
        <v>74</v>
      </c>
      <c r="I42" s="22" t="s">
        <v>84</v>
      </c>
      <c r="J42" s="23"/>
      <c r="K42" s="17" t="s">
        <v>521</v>
      </c>
      <c r="L42" s="17" t="s">
        <v>258</v>
      </c>
      <c r="M42" s="17" t="s">
        <v>87</v>
      </c>
      <c r="N42" s="17" t="s">
        <v>88</v>
      </c>
      <c r="O42" s="17" t="s">
        <v>88</v>
      </c>
      <c r="P42" s="17" t="s">
        <v>524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13</v>
      </c>
      <c r="Z42" s="17">
        <v>108.73465354181801</v>
      </c>
      <c r="AA42" s="16"/>
      <c r="AB42" s="16"/>
      <c r="AC42" s="16"/>
      <c r="AD42" s="16"/>
      <c r="AE42" s="16"/>
      <c r="AF42" s="16"/>
      <c r="AG42" s="16"/>
      <c r="AH42" s="17">
        <v>108.72518145781901</v>
      </c>
      <c r="AI42" s="17">
        <v>108.73465354181801</v>
      </c>
      <c r="AJ42" s="17">
        <v>108.73465354181801</v>
      </c>
      <c r="AK42" s="17">
        <v>108.73465354181801</v>
      </c>
      <c r="AL42" s="17">
        <v>2.2720408160239501E-3</v>
      </c>
      <c r="AM42" s="17">
        <v>110.62185149989099</v>
      </c>
      <c r="AN42" s="16"/>
      <c r="AO42" s="17" t="s">
        <v>521</v>
      </c>
      <c r="AP42" s="17" t="s">
        <v>258</v>
      </c>
      <c r="AQ42" s="17" t="s">
        <v>87</v>
      </c>
      <c r="AR42" s="17" t="s">
        <v>88</v>
      </c>
      <c r="AS42" s="17" t="s">
        <v>88</v>
      </c>
      <c r="AT42" s="17" t="s">
        <v>524</v>
      </c>
      <c r="AU42" s="17" t="s">
        <v>90</v>
      </c>
      <c r="AV42" s="17" t="s">
        <v>495</v>
      </c>
      <c r="AW42" s="17">
        <v>1</v>
      </c>
      <c r="AX42" s="17" t="s">
        <v>496</v>
      </c>
      <c r="AY42" s="17" t="s">
        <v>61</v>
      </c>
      <c r="AZ42" s="16"/>
      <c r="BA42" s="17" t="s">
        <v>62</v>
      </c>
      <c r="BB42" s="17" t="s">
        <v>172</v>
      </c>
      <c r="BC42" s="17" t="s">
        <v>497</v>
      </c>
      <c r="BD42" s="16"/>
    </row>
    <row r="43" spans="1:56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100</v>
      </c>
      <c r="H43" s="17" t="s">
        <v>68</v>
      </c>
      <c r="I43" s="17" t="s">
        <v>84</v>
      </c>
      <c r="J43" s="17" t="s">
        <v>68</v>
      </c>
      <c r="K43" s="17" t="s">
        <v>521</v>
      </c>
      <c r="L43" s="17" t="s">
        <v>256</v>
      </c>
      <c r="M43" s="17" t="s">
        <v>87</v>
      </c>
      <c r="N43" s="17" t="s">
        <v>88</v>
      </c>
      <c r="O43" s="17" t="s">
        <v>88</v>
      </c>
      <c r="P43" s="17" t="s">
        <v>525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17</v>
      </c>
      <c r="Z43" s="17">
        <v>110.646855957806</v>
      </c>
      <c r="AA43" s="16"/>
      <c r="AB43" s="16"/>
      <c r="AC43" s="16"/>
      <c r="AD43" s="16"/>
      <c r="AE43" s="16"/>
      <c r="AF43" s="16"/>
      <c r="AG43" s="16"/>
      <c r="AH43" s="17">
        <v>110.62384445779</v>
      </c>
      <c r="AI43" s="17">
        <v>110.646855957806</v>
      </c>
      <c r="AJ43" s="17">
        <v>110.646855957806</v>
      </c>
      <c r="AK43" s="17">
        <v>110.646855957806</v>
      </c>
      <c r="AL43" s="17">
        <v>1.90779101103544E-3</v>
      </c>
      <c r="AM43" s="17">
        <v>119.139762791805</v>
      </c>
      <c r="AN43" s="17" t="s">
        <v>68</v>
      </c>
      <c r="AO43" s="17" t="s">
        <v>521</v>
      </c>
      <c r="AP43" s="17" t="s">
        <v>256</v>
      </c>
      <c r="AQ43" s="17" t="s">
        <v>87</v>
      </c>
      <c r="AR43" s="17" t="s">
        <v>88</v>
      </c>
      <c r="AS43" s="17" t="s">
        <v>88</v>
      </c>
      <c r="AT43" s="17" t="s">
        <v>525</v>
      </c>
      <c r="AU43" s="17" t="s">
        <v>90</v>
      </c>
      <c r="AV43" s="17" t="s">
        <v>495</v>
      </c>
      <c r="AW43" s="17">
        <v>1</v>
      </c>
      <c r="AX43" s="17" t="s">
        <v>496</v>
      </c>
      <c r="AY43" s="17" t="s">
        <v>61</v>
      </c>
      <c r="AZ43" s="16"/>
      <c r="BA43" s="17" t="s">
        <v>62</v>
      </c>
      <c r="BB43" s="17" t="s">
        <v>172</v>
      </c>
      <c r="BC43" s="17" t="s">
        <v>497</v>
      </c>
      <c r="BD43" s="16"/>
    </row>
    <row r="44" spans="1:56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/>
      <c r="H44" s="22" t="s">
        <v>81</v>
      </c>
      <c r="I44" s="22" t="s">
        <v>84</v>
      </c>
      <c r="J44" s="23"/>
      <c r="K44" s="17" t="s">
        <v>521</v>
      </c>
      <c r="L44" s="17" t="s">
        <v>256</v>
      </c>
      <c r="M44" s="17" t="s">
        <v>87</v>
      </c>
      <c r="N44" s="17" t="s">
        <v>88</v>
      </c>
      <c r="O44" s="17" t="s">
        <v>88</v>
      </c>
      <c r="P44" s="17" t="s">
        <v>526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4</v>
      </c>
      <c r="Z44" s="17">
        <v>119.150800291914</v>
      </c>
      <c r="AA44" s="16"/>
      <c r="AB44" s="16"/>
      <c r="AC44" s="16"/>
      <c r="AD44" s="16"/>
      <c r="AE44" s="16"/>
      <c r="AF44" s="16"/>
      <c r="AG44" s="16"/>
      <c r="AH44" s="17">
        <v>119.14176958287101</v>
      </c>
      <c r="AI44" s="17">
        <v>119.150800291914</v>
      </c>
      <c r="AJ44" s="17">
        <v>119.150800291914</v>
      </c>
      <c r="AK44" s="17">
        <v>119.150800291914</v>
      </c>
      <c r="AL44" s="17">
        <v>1.8880409188568601E-3</v>
      </c>
      <c r="AM44" s="17">
        <v>122.08980870782401</v>
      </c>
      <c r="AN44" s="16"/>
      <c r="AO44" s="17" t="s">
        <v>521</v>
      </c>
      <c r="AP44" s="17" t="s">
        <v>256</v>
      </c>
      <c r="AQ44" s="17" t="s">
        <v>87</v>
      </c>
      <c r="AR44" s="17" t="s">
        <v>88</v>
      </c>
      <c r="AS44" s="17" t="s">
        <v>88</v>
      </c>
      <c r="AT44" s="17" t="s">
        <v>526</v>
      </c>
      <c r="AU44" s="17" t="s">
        <v>90</v>
      </c>
      <c r="AV44" s="17" t="s">
        <v>495</v>
      </c>
      <c r="AW44" s="17">
        <v>1</v>
      </c>
      <c r="AX44" s="17" t="s">
        <v>496</v>
      </c>
      <c r="AY44" s="17" t="s">
        <v>61</v>
      </c>
      <c r="AZ44" s="16"/>
      <c r="BA44" s="17" t="s">
        <v>62</v>
      </c>
      <c r="BB44" s="17" t="s">
        <v>172</v>
      </c>
      <c r="BC44" s="17" t="s">
        <v>497</v>
      </c>
      <c r="BD44" s="16"/>
    </row>
    <row r="45" spans="1:56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22" t="s">
        <v>142</v>
      </c>
      <c r="H45" s="22" t="s">
        <v>67</v>
      </c>
      <c r="I45" s="22" t="s">
        <v>84</v>
      </c>
      <c r="J45" s="23"/>
      <c r="K45" s="17" t="s">
        <v>521</v>
      </c>
      <c r="L45" s="17" t="s">
        <v>256</v>
      </c>
      <c r="M45" s="17" t="s">
        <v>87</v>
      </c>
      <c r="N45" s="17" t="s">
        <v>88</v>
      </c>
      <c r="O45" s="17" t="s">
        <v>88</v>
      </c>
      <c r="P45" s="17" t="s">
        <v>527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16</v>
      </c>
      <c r="Z45" s="17">
        <v>122.09941716678399</v>
      </c>
      <c r="AA45" s="16"/>
      <c r="AB45" s="16"/>
      <c r="AC45" s="16"/>
      <c r="AD45" s="16"/>
      <c r="AE45" s="16"/>
      <c r="AF45" s="16"/>
      <c r="AG45" s="16"/>
      <c r="AH45" s="17">
        <v>122.09166141692501</v>
      </c>
      <c r="AI45" s="17">
        <v>122.09941716678399</v>
      </c>
      <c r="AJ45" s="17">
        <v>122.09941716678399</v>
      </c>
      <c r="AK45" s="17">
        <v>122.09941716678399</v>
      </c>
      <c r="AL45" s="17">
        <v>1.7750000115483999E-3</v>
      </c>
      <c r="AM45" s="17">
        <v>123.338451207848</v>
      </c>
      <c r="AN45" s="16"/>
      <c r="AO45" s="17" t="s">
        <v>521</v>
      </c>
      <c r="AP45" s="17" t="s">
        <v>256</v>
      </c>
      <c r="AQ45" s="17" t="s">
        <v>87</v>
      </c>
      <c r="AR45" s="17" t="s">
        <v>88</v>
      </c>
      <c r="AS45" s="17" t="s">
        <v>88</v>
      </c>
      <c r="AT45" s="17" t="s">
        <v>527</v>
      </c>
      <c r="AU45" s="17" t="s">
        <v>90</v>
      </c>
      <c r="AV45" s="17" t="s">
        <v>495</v>
      </c>
      <c r="AW45" s="17">
        <v>1</v>
      </c>
      <c r="AX45" s="17" t="s">
        <v>496</v>
      </c>
      <c r="AY45" s="17" t="s">
        <v>61</v>
      </c>
      <c r="AZ45" s="16"/>
      <c r="BA45" s="17" t="s">
        <v>62</v>
      </c>
      <c r="BB45" s="17" t="s">
        <v>172</v>
      </c>
      <c r="BC45" s="17" t="s">
        <v>497</v>
      </c>
      <c r="BD45" s="16"/>
    </row>
    <row r="46" spans="1:56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22" t="s">
        <v>136</v>
      </c>
      <c r="H46" s="22" t="s">
        <v>69</v>
      </c>
      <c r="I46" s="22" t="s">
        <v>84</v>
      </c>
      <c r="J46" s="23"/>
      <c r="K46" s="17" t="s">
        <v>521</v>
      </c>
      <c r="L46" s="17" t="s">
        <v>256</v>
      </c>
      <c r="M46" s="17" t="s">
        <v>87</v>
      </c>
      <c r="N46" s="17" t="s">
        <v>88</v>
      </c>
      <c r="O46" s="17" t="s">
        <v>88</v>
      </c>
      <c r="P46" s="17" t="s">
        <v>528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8</v>
      </c>
      <c r="Z46" s="17">
        <v>123.36354687484</v>
      </c>
      <c r="AA46" s="16"/>
      <c r="AB46" s="16"/>
      <c r="AC46" s="16"/>
      <c r="AD46" s="16"/>
      <c r="AE46" s="16"/>
      <c r="AF46" s="16"/>
      <c r="AG46" s="16"/>
      <c r="AH46" s="17">
        <v>123.34015666693401</v>
      </c>
      <c r="AI46" s="17">
        <v>123.36354687484</v>
      </c>
      <c r="AJ46" s="17">
        <v>123.36354687484</v>
      </c>
      <c r="AK46" s="17">
        <v>123.36354687484</v>
      </c>
      <c r="AL46" s="17">
        <v>1.61725003272295E-3</v>
      </c>
      <c r="AM46" s="17">
        <v>125.42267620796299</v>
      </c>
      <c r="AN46" s="16"/>
      <c r="AO46" s="17" t="s">
        <v>521</v>
      </c>
      <c r="AP46" s="17" t="s">
        <v>256</v>
      </c>
      <c r="AQ46" s="17" t="s">
        <v>87</v>
      </c>
      <c r="AR46" s="17" t="s">
        <v>88</v>
      </c>
      <c r="AS46" s="17" t="s">
        <v>88</v>
      </c>
      <c r="AT46" s="17" t="s">
        <v>528</v>
      </c>
      <c r="AU46" s="17" t="s">
        <v>90</v>
      </c>
      <c r="AV46" s="17" t="s">
        <v>495</v>
      </c>
      <c r="AW46" s="17">
        <v>1</v>
      </c>
      <c r="AX46" s="17" t="s">
        <v>496</v>
      </c>
      <c r="AY46" s="17" t="s">
        <v>61</v>
      </c>
      <c r="AZ46" s="16"/>
      <c r="BA46" s="17" t="s">
        <v>62</v>
      </c>
      <c r="BB46" s="17" t="s">
        <v>172</v>
      </c>
      <c r="BC46" s="17" t="s">
        <v>497</v>
      </c>
      <c r="BD46" s="16"/>
    </row>
    <row r="48" spans="1:56" ht="14" x14ac:dyDescent="0.15">
      <c r="K48" s="19" t="s">
        <v>630</v>
      </c>
      <c r="L48" s="17" t="s">
        <v>648</v>
      </c>
      <c r="M48">
        <f>8/11</f>
        <v>0.72727272727272729</v>
      </c>
    </row>
    <row r="49" spans="11:13" ht="14" x14ac:dyDescent="0.15">
      <c r="K49" s="19" t="s">
        <v>631</v>
      </c>
      <c r="L49" s="17" t="s">
        <v>649</v>
      </c>
      <c r="M49">
        <f>1/2</f>
        <v>0.5</v>
      </c>
    </row>
    <row r="50" spans="11:13" x14ac:dyDescent="0.15">
      <c r="K50" s="1"/>
    </row>
    <row r="51" spans="11:13" x14ac:dyDescent="0.15">
      <c r="K51" s="19" t="s">
        <v>634</v>
      </c>
      <c r="M51">
        <f>M48-M49</f>
        <v>0.22727272727272729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9679-B9D0-1243-B0C5-6D849BD8330B}">
  <dimension ref="A1:BI53"/>
  <sheetViews>
    <sheetView topLeftCell="D43" zoomScale="150" workbookViewId="0">
      <selection activeCell="M53" sqref="M53"/>
    </sheetView>
  </sheetViews>
  <sheetFormatPr baseColWidth="10" defaultRowHeight="13" x14ac:dyDescent="0.15"/>
  <cols>
    <col min="11" max="11" width="25.33203125" customWidth="1"/>
    <col min="13" max="13" width="11.6640625" bestFit="1" customWidth="1"/>
  </cols>
  <sheetData>
    <row r="1" spans="1:61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529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5" t="s">
        <v>56</v>
      </c>
      <c r="BG1" s="15" t="s">
        <v>57</v>
      </c>
      <c r="BH1" s="15" t="s">
        <v>58</v>
      </c>
      <c r="BI1" s="16"/>
    </row>
    <row r="2" spans="1:61" ht="56" x14ac:dyDescent="0.15">
      <c r="A2" s="15" t="s">
        <v>76</v>
      </c>
      <c r="B2" s="17">
        <v>0</v>
      </c>
      <c r="C2" s="17">
        <v>0</v>
      </c>
      <c r="D2" s="17">
        <v>0</v>
      </c>
      <c r="E2" s="17">
        <v>1</v>
      </c>
      <c r="F2" s="17">
        <v>1.80838116700761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6</v>
      </c>
      <c r="V2" s="16"/>
      <c r="W2" s="16"/>
      <c r="X2" s="16"/>
      <c r="Y2" s="16"/>
      <c r="Z2" s="17">
        <v>4.45160830859095E-2</v>
      </c>
      <c r="AA2" s="16"/>
      <c r="AB2" s="17">
        <v>1.84856669511646E-2</v>
      </c>
      <c r="AC2" s="17">
        <v>4.45160830859095E-2</v>
      </c>
      <c r="AD2" s="17">
        <v>4.45160830859095E-2</v>
      </c>
      <c r="AE2" s="17">
        <v>1.8358970000408601</v>
      </c>
      <c r="AF2" s="17">
        <v>1</v>
      </c>
      <c r="AG2" s="17">
        <v>1.80838116700761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7" t="s">
        <v>530</v>
      </c>
      <c r="BB2" s="17">
        <v>1</v>
      </c>
      <c r="BC2" s="17" t="s">
        <v>531</v>
      </c>
      <c r="BD2" s="17" t="s">
        <v>61</v>
      </c>
      <c r="BE2" s="16"/>
      <c r="BF2" s="17" t="s">
        <v>62</v>
      </c>
      <c r="BG2" s="17" t="s">
        <v>172</v>
      </c>
      <c r="BH2" s="17" t="s">
        <v>532</v>
      </c>
      <c r="BI2" s="16"/>
    </row>
    <row r="3" spans="1:61" ht="56" x14ac:dyDescent="0.15">
      <c r="A3" s="15" t="s">
        <v>82</v>
      </c>
      <c r="B3" s="17">
        <v>1</v>
      </c>
      <c r="C3" s="17">
        <v>1</v>
      </c>
      <c r="D3" s="17">
        <v>0</v>
      </c>
      <c r="E3" s="17">
        <v>1</v>
      </c>
      <c r="F3" s="17">
        <v>1.9540173748973799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9</v>
      </c>
      <c r="V3" s="16"/>
      <c r="W3" s="16"/>
      <c r="X3" s="16"/>
      <c r="Y3" s="16"/>
      <c r="Z3" s="17">
        <v>1.84615270793438</v>
      </c>
      <c r="AA3" s="16"/>
      <c r="AB3" s="17">
        <v>1.8394925000611699</v>
      </c>
      <c r="AC3" s="17">
        <v>1.84615270793438</v>
      </c>
      <c r="AD3" s="17">
        <v>1.84615270793438</v>
      </c>
      <c r="AE3" s="17">
        <v>3.80255883303471</v>
      </c>
      <c r="AF3" s="17">
        <v>1</v>
      </c>
      <c r="AG3" s="17">
        <v>1.9540173748973799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7" t="s">
        <v>530</v>
      </c>
      <c r="BB3" s="17">
        <v>1</v>
      </c>
      <c r="BC3" s="17" t="s">
        <v>531</v>
      </c>
      <c r="BD3" s="17" t="s">
        <v>61</v>
      </c>
      <c r="BE3" s="16"/>
      <c r="BF3" s="17" t="s">
        <v>62</v>
      </c>
      <c r="BG3" s="17" t="s">
        <v>172</v>
      </c>
      <c r="BH3" s="17" t="s">
        <v>532</v>
      </c>
      <c r="BI3" s="16"/>
    </row>
    <row r="4" spans="1:61" ht="56" x14ac:dyDescent="0.15">
      <c r="A4" s="15" t="s">
        <v>59</v>
      </c>
      <c r="B4" s="17">
        <v>2</v>
      </c>
      <c r="C4" s="17">
        <v>2</v>
      </c>
      <c r="D4" s="17">
        <v>0</v>
      </c>
      <c r="E4" s="17">
        <v>4.97482014388489</v>
      </c>
      <c r="F4" s="17">
        <v>1.3549372910056301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12</v>
      </c>
      <c r="V4" s="16"/>
      <c r="W4" s="16"/>
      <c r="X4" s="16"/>
      <c r="Y4" s="16"/>
      <c r="Z4" s="17">
        <v>3.8117395830340701</v>
      </c>
      <c r="AA4" s="16"/>
      <c r="AB4" s="17">
        <v>3.8052211669273701</v>
      </c>
      <c r="AC4" s="17">
        <v>3.8117395830340701</v>
      </c>
      <c r="AD4" s="17">
        <v>3.8117395830340701</v>
      </c>
      <c r="AE4" s="17">
        <v>5.16916837496683</v>
      </c>
      <c r="AF4" s="17">
        <v>4.97482014388489</v>
      </c>
      <c r="AG4" s="17">
        <v>1.3549372910056301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7" t="s">
        <v>530</v>
      </c>
      <c r="BB4" s="17">
        <v>1</v>
      </c>
      <c r="BC4" s="17" t="s">
        <v>531</v>
      </c>
      <c r="BD4" s="17" t="s">
        <v>61</v>
      </c>
      <c r="BE4" s="16"/>
      <c r="BF4" s="17" t="s">
        <v>62</v>
      </c>
      <c r="BG4" s="17" t="s">
        <v>172</v>
      </c>
      <c r="BH4" s="17" t="s">
        <v>532</v>
      </c>
      <c r="BI4" s="16"/>
    </row>
    <row r="5" spans="1:61" ht="56" x14ac:dyDescent="0.15">
      <c r="A5" s="15" t="s">
        <v>64</v>
      </c>
      <c r="B5" s="17">
        <v>3</v>
      </c>
      <c r="C5" s="17">
        <v>3</v>
      </c>
      <c r="D5" s="17">
        <v>0</v>
      </c>
      <c r="E5" s="17">
        <v>4.9712230215827304</v>
      </c>
      <c r="F5" s="17">
        <v>3.1209778331685798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18</v>
      </c>
      <c r="V5" s="16"/>
      <c r="W5" s="16"/>
      <c r="X5" s="16"/>
      <c r="Y5" s="16"/>
      <c r="Z5" s="17">
        <v>5.1788632920943201</v>
      </c>
      <c r="AA5" s="16"/>
      <c r="AB5" s="17">
        <v>5.1724020419642303</v>
      </c>
      <c r="AC5" s="17">
        <v>5.1788632920943201</v>
      </c>
      <c r="AD5" s="17">
        <v>5.1788632920943201</v>
      </c>
      <c r="AE5" s="17">
        <v>8.30249895807356</v>
      </c>
      <c r="AF5" s="17">
        <v>4.9712230215827304</v>
      </c>
      <c r="AG5" s="17">
        <v>3.1209778331685798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7" t="s">
        <v>530</v>
      </c>
      <c r="BB5" s="17">
        <v>1</v>
      </c>
      <c r="BC5" s="17" t="s">
        <v>531</v>
      </c>
      <c r="BD5" s="17" t="s">
        <v>61</v>
      </c>
      <c r="BE5" s="16"/>
      <c r="BF5" s="17" t="s">
        <v>62</v>
      </c>
      <c r="BG5" s="17" t="s">
        <v>172</v>
      </c>
      <c r="BH5" s="17" t="s">
        <v>532</v>
      </c>
      <c r="BI5" s="16"/>
    </row>
    <row r="6" spans="1:61" ht="56" x14ac:dyDescent="0.15">
      <c r="A6" s="15" t="s">
        <v>80</v>
      </c>
      <c r="B6" s="17">
        <v>4</v>
      </c>
      <c r="C6" s="17">
        <v>4</v>
      </c>
      <c r="D6" s="17">
        <v>0</v>
      </c>
      <c r="E6" s="17">
        <v>4.9712230215827304</v>
      </c>
      <c r="F6" s="17">
        <v>0.93887316714972302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15</v>
      </c>
      <c r="V6" s="16"/>
      <c r="W6" s="16"/>
      <c r="X6" s="16"/>
      <c r="Y6" s="16"/>
      <c r="Z6" s="17">
        <v>8.3110211249440908</v>
      </c>
      <c r="AA6" s="16"/>
      <c r="AB6" s="17">
        <v>8.3044537079986203</v>
      </c>
      <c r="AC6" s="17">
        <v>8.3110211249440908</v>
      </c>
      <c r="AD6" s="17">
        <v>8.3110211249440908</v>
      </c>
      <c r="AE6" s="17">
        <v>9.2523413330782205</v>
      </c>
      <c r="AF6" s="17">
        <v>4.9712230215827304</v>
      </c>
      <c r="AG6" s="17">
        <v>0.93887316714972302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7" t="s">
        <v>530</v>
      </c>
      <c r="BB6" s="17">
        <v>1</v>
      </c>
      <c r="BC6" s="17" t="s">
        <v>531</v>
      </c>
      <c r="BD6" s="17" t="s">
        <v>61</v>
      </c>
      <c r="BE6" s="16"/>
      <c r="BF6" s="17" t="s">
        <v>62</v>
      </c>
      <c r="BG6" s="17" t="s">
        <v>172</v>
      </c>
      <c r="BH6" s="17" t="s">
        <v>532</v>
      </c>
      <c r="BI6" s="16"/>
    </row>
    <row r="7" spans="1:61" ht="56" x14ac:dyDescent="0.15">
      <c r="A7" s="15" t="s">
        <v>74</v>
      </c>
      <c r="B7" s="17">
        <v>5</v>
      </c>
      <c r="C7" s="17">
        <v>5</v>
      </c>
      <c r="D7" s="17">
        <v>0</v>
      </c>
      <c r="E7" s="17">
        <v>4.9712230215827304</v>
      </c>
      <c r="F7" s="17">
        <v>0.73851391696371105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13</v>
      </c>
      <c r="V7" s="16"/>
      <c r="W7" s="16"/>
      <c r="X7" s="16"/>
      <c r="Y7" s="16"/>
      <c r="Z7" s="17">
        <v>9.2616043749730999</v>
      </c>
      <c r="AA7" s="16"/>
      <c r="AB7" s="17">
        <v>9.2549924170598405</v>
      </c>
      <c r="AC7" s="17">
        <v>9.2616043749730999</v>
      </c>
      <c r="AD7" s="17">
        <v>9.2616043749730999</v>
      </c>
      <c r="AE7" s="17">
        <v>10.002498792018701</v>
      </c>
      <c r="AF7" s="17">
        <v>4.9712230215827304</v>
      </c>
      <c r="AG7" s="17">
        <v>0.73851391696371105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7" t="s">
        <v>530</v>
      </c>
      <c r="BB7" s="17">
        <v>1</v>
      </c>
      <c r="BC7" s="17" t="s">
        <v>531</v>
      </c>
      <c r="BD7" s="17" t="s">
        <v>61</v>
      </c>
      <c r="BE7" s="16"/>
      <c r="BF7" s="17" t="s">
        <v>62</v>
      </c>
      <c r="BG7" s="17" t="s">
        <v>172</v>
      </c>
      <c r="BH7" s="17" t="s">
        <v>532</v>
      </c>
      <c r="BI7" s="16"/>
    </row>
    <row r="8" spans="1:61" ht="56" x14ac:dyDescent="0.15">
      <c r="A8" s="15" t="s">
        <v>81</v>
      </c>
      <c r="B8" s="17">
        <v>6</v>
      </c>
      <c r="C8" s="17">
        <v>6</v>
      </c>
      <c r="D8" s="17">
        <v>0</v>
      </c>
      <c r="E8" s="17">
        <v>1.9604316546762599</v>
      </c>
      <c r="F8" s="17">
        <v>1.2724817921407501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4</v>
      </c>
      <c r="V8" s="16"/>
      <c r="W8" s="16"/>
      <c r="X8" s="16"/>
      <c r="Y8" s="16"/>
      <c r="Z8" s="17">
        <v>10.010897333035199</v>
      </c>
      <c r="AA8" s="16"/>
      <c r="AB8" s="17">
        <v>10.004229916958099</v>
      </c>
      <c r="AC8" s="17">
        <v>10.010897333035199</v>
      </c>
      <c r="AD8" s="17">
        <v>10.010897333035199</v>
      </c>
      <c r="AE8" s="17">
        <v>11.285876458045101</v>
      </c>
      <c r="AF8" s="17">
        <v>1.9604316546762599</v>
      </c>
      <c r="AG8" s="17">
        <v>1.2724817921407501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7" t="s">
        <v>530</v>
      </c>
      <c r="BB8" s="17">
        <v>1</v>
      </c>
      <c r="BC8" s="17" t="s">
        <v>531</v>
      </c>
      <c r="BD8" s="17" t="s">
        <v>61</v>
      </c>
      <c r="BE8" s="16"/>
      <c r="BF8" s="17" t="s">
        <v>62</v>
      </c>
      <c r="BG8" s="17" t="s">
        <v>172</v>
      </c>
      <c r="BH8" s="17" t="s">
        <v>532</v>
      </c>
      <c r="BI8" s="16"/>
    </row>
    <row r="9" spans="1:61" ht="56" x14ac:dyDescent="0.15">
      <c r="A9" s="15" t="s">
        <v>78</v>
      </c>
      <c r="B9" s="17">
        <v>7</v>
      </c>
      <c r="C9" s="17">
        <v>7</v>
      </c>
      <c r="D9" s="17">
        <v>0</v>
      </c>
      <c r="E9" s="17">
        <v>1</v>
      </c>
      <c r="F9" s="17">
        <v>1.4054659169632899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5</v>
      </c>
      <c r="V9" s="16"/>
      <c r="W9" s="16"/>
      <c r="X9" s="16"/>
      <c r="Y9" s="16"/>
      <c r="Z9" s="17">
        <v>11.294358874904001</v>
      </c>
      <c r="AA9" s="16"/>
      <c r="AB9" s="17">
        <v>11.287710957927599</v>
      </c>
      <c r="AC9" s="17">
        <v>11.294358874904001</v>
      </c>
      <c r="AD9" s="17">
        <v>11.294358874904001</v>
      </c>
      <c r="AE9" s="17">
        <v>12.702512833057</v>
      </c>
      <c r="AF9" s="17">
        <v>1</v>
      </c>
      <c r="AG9" s="17">
        <v>1.4054659169632899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7" t="s">
        <v>530</v>
      </c>
      <c r="BB9" s="17">
        <v>1</v>
      </c>
      <c r="BC9" s="17" t="s">
        <v>531</v>
      </c>
      <c r="BD9" s="17" t="s">
        <v>61</v>
      </c>
      <c r="BE9" s="16"/>
      <c r="BF9" s="17" t="s">
        <v>62</v>
      </c>
      <c r="BG9" s="17" t="s">
        <v>172</v>
      </c>
      <c r="BH9" s="17" t="s">
        <v>532</v>
      </c>
      <c r="BI9" s="16"/>
    </row>
    <row r="10" spans="1:61" ht="56" x14ac:dyDescent="0.15">
      <c r="A10" s="15" t="s">
        <v>79</v>
      </c>
      <c r="B10" s="17">
        <v>8</v>
      </c>
      <c r="C10" s="17">
        <v>8</v>
      </c>
      <c r="D10" s="17">
        <v>0</v>
      </c>
      <c r="E10" s="17">
        <v>1</v>
      </c>
      <c r="F10" s="17">
        <v>0.989323958056048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3</v>
      </c>
      <c r="V10" s="16"/>
      <c r="W10" s="16"/>
      <c r="X10" s="16"/>
      <c r="Y10" s="16"/>
      <c r="Z10" s="17">
        <v>12.7105390420184</v>
      </c>
      <c r="AA10" s="16"/>
      <c r="AB10" s="17">
        <v>12.7041481249034</v>
      </c>
      <c r="AC10" s="17">
        <v>12.7105390420184</v>
      </c>
      <c r="AD10" s="17">
        <v>12.7105390420184</v>
      </c>
      <c r="AE10" s="17">
        <v>13.7024668329395</v>
      </c>
      <c r="AF10" s="17">
        <v>1</v>
      </c>
      <c r="AG10" s="17">
        <v>0.989323958056048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7" t="s">
        <v>530</v>
      </c>
      <c r="BB10" s="17">
        <v>1</v>
      </c>
      <c r="BC10" s="17" t="s">
        <v>531</v>
      </c>
      <c r="BD10" s="17" t="s">
        <v>61</v>
      </c>
      <c r="BE10" s="16"/>
      <c r="BF10" s="17" t="s">
        <v>62</v>
      </c>
      <c r="BG10" s="17" t="s">
        <v>172</v>
      </c>
      <c r="BH10" s="17" t="s">
        <v>532</v>
      </c>
      <c r="BI10" s="16"/>
    </row>
    <row r="11" spans="1:61" ht="56" x14ac:dyDescent="0.15">
      <c r="A11" s="15" t="s">
        <v>66</v>
      </c>
      <c r="B11" s="17">
        <v>9</v>
      </c>
      <c r="C11" s="17">
        <v>9</v>
      </c>
      <c r="D11" s="17">
        <v>0</v>
      </c>
      <c r="E11" s="17">
        <v>1</v>
      </c>
      <c r="F11" s="17">
        <v>0.62248279200866796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1</v>
      </c>
      <c r="V11" s="16"/>
      <c r="W11" s="16"/>
      <c r="X11" s="16"/>
      <c r="Y11" s="16"/>
      <c r="Z11" s="17">
        <v>13.7108420829754</v>
      </c>
      <c r="AA11" s="16"/>
      <c r="AB11" s="17">
        <v>13.7042590419296</v>
      </c>
      <c r="AC11" s="17">
        <v>13.7108420829754</v>
      </c>
      <c r="AD11" s="17">
        <v>13.7108420829754</v>
      </c>
      <c r="AE11" s="17">
        <v>14.335667999927001</v>
      </c>
      <c r="AF11" s="17">
        <v>1</v>
      </c>
      <c r="AG11" s="17">
        <v>0.62248279200866796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7" t="s">
        <v>530</v>
      </c>
      <c r="BB11" s="17">
        <v>1</v>
      </c>
      <c r="BC11" s="17" t="s">
        <v>531</v>
      </c>
      <c r="BD11" s="17" t="s">
        <v>61</v>
      </c>
      <c r="BE11" s="16"/>
      <c r="BF11" s="17" t="s">
        <v>62</v>
      </c>
      <c r="BG11" s="17" t="s">
        <v>172</v>
      </c>
      <c r="BH11" s="17" t="s">
        <v>532</v>
      </c>
      <c r="BI11" s="16"/>
    </row>
    <row r="12" spans="1:61" ht="56" x14ac:dyDescent="0.15">
      <c r="A12" s="15" t="s">
        <v>75</v>
      </c>
      <c r="B12" s="17">
        <v>10</v>
      </c>
      <c r="C12" s="17">
        <v>10</v>
      </c>
      <c r="D12" s="17">
        <v>0</v>
      </c>
      <c r="E12" s="17">
        <v>4.0179856115107899</v>
      </c>
      <c r="F12" s="17">
        <v>1.4552845000289401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7</v>
      </c>
      <c r="V12" s="16"/>
      <c r="W12" s="16"/>
      <c r="X12" s="16"/>
      <c r="Y12" s="16"/>
      <c r="Z12" s="17">
        <v>14.3445502920076</v>
      </c>
      <c r="AA12" s="16"/>
      <c r="AB12" s="17">
        <v>14.3380789170042</v>
      </c>
      <c r="AC12" s="17">
        <v>14.3445502920076</v>
      </c>
      <c r="AD12" s="17">
        <v>14.3445502920076</v>
      </c>
      <c r="AE12" s="17">
        <v>15.802527708001399</v>
      </c>
      <c r="AF12" s="17">
        <v>4.0179856115107899</v>
      </c>
      <c r="AG12" s="17">
        <v>1.4552845000289401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7" t="s">
        <v>530</v>
      </c>
      <c r="BB12" s="17">
        <v>1</v>
      </c>
      <c r="BC12" s="17" t="s">
        <v>531</v>
      </c>
      <c r="BD12" s="17" t="s">
        <v>61</v>
      </c>
      <c r="BE12" s="16"/>
      <c r="BF12" s="17" t="s">
        <v>62</v>
      </c>
      <c r="BG12" s="17" t="s">
        <v>172</v>
      </c>
      <c r="BH12" s="17" t="s">
        <v>532</v>
      </c>
      <c r="BI12" s="16"/>
    </row>
    <row r="13" spans="1:61" ht="56" x14ac:dyDescent="0.15">
      <c r="A13" s="15" t="s">
        <v>67</v>
      </c>
      <c r="B13" s="17">
        <v>11</v>
      </c>
      <c r="C13" s="17">
        <v>11</v>
      </c>
      <c r="D13" s="17">
        <v>0</v>
      </c>
      <c r="E13" s="17">
        <v>5</v>
      </c>
      <c r="F13" s="17">
        <v>1.23882499989122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16</v>
      </c>
      <c r="V13" s="16"/>
      <c r="W13" s="16"/>
      <c r="X13" s="16"/>
      <c r="Y13" s="16"/>
      <c r="Z13" s="17">
        <v>15.810612832894501</v>
      </c>
      <c r="AA13" s="16"/>
      <c r="AB13" s="17">
        <v>15.804194625001401</v>
      </c>
      <c r="AC13" s="17">
        <v>15.810612832894501</v>
      </c>
      <c r="AD13" s="17">
        <v>15.810612832894501</v>
      </c>
      <c r="AE13" s="17">
        <v>17.052479707868802</v>
      </c>
      <c r="AF13" s="17">
        <v>5</v>
      </c>
      <c r="AG13" s="17">
        <v>1.23882499989122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7" t="s">
        <v>530</v>
      </c>
      <c r="BB13" s="17">
        <v>1</v>
      </c>
      <c r="BC13" s="17" t="s">
        <v>531</v>
      </c>
      <c r="BD13" s="17" t="s">
        <v>61</v>
      </c>
      <c r="BE13" s="16"/>
      <c r="BF13" s="17" t="s">
        <v>62</v>
      </c>
      <c r="BG13" s="17" t="s">
        <v>172</v>
      </c>
      <c r="BH13" s="17" t="s">
        <v>532</v>
      </c>
      <c r="BI13" s="16"/>
    </row>
    <row r="14" spans="1:61" ht="56" x14ac:dyDescent="0.15">
      <c r="A14" s="15" t="s">
        <v>65</v>
      </c>
      <c r="B14" s="17">
        <v>12</v>
      </c>
      <c r="C14" s="17">
        <v>12</v>
      </c>
      <c r="D14" s="17">
        <v>0</v>
      </c>
      <c r="E14" s="17">
        <v>5</v>
      </c>
      <c r="F14" s="17">
        <v>0.839756666915491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11</v>
      </c>
      <c r="V14" s="16"/>
      <c r="W14" s="16"/>
      <c r="X14" s="16"/>
      <c r="Y14" s="16"/>
      <c r="Z14" s="17">
        <v>17.059570374898598</v>
      </c>
      <c r="AA14" s="16"/>
      <c r="AB14" s="17">
        <v>17.053840166889099</v>
      </c>
      <c r="AC14" s="17">
        <v>17.059570374898598</v>
      </c>
      <c r="AD14" s="17">
        <v>17.059570374898598</v>
      </c>
      <c r="AE14" s="17">
        <v>17.902545332908598</v>
      </c>
      <c r="AF14" s="17">
        <v>5</v>
      </c>
      <c r="AG14" s="17">
        <v>0.839756666915491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7" t="s">
        <v>530</v>
      </c>
      <c r="BB14" s="17">
        <v>1</v>
      </c>
      <c r="BC14" s="17" t="s">
        <v>531</v>
      </c>
      <c r="BD14" s="17" t="s">
        <v>61</v>
      </c>
      <c r="BE14" s="16"/>
      <c r="BF14" s="17" t="s">
        <v>62</v>
      </c>
      <c r="BG14" s="17" t="s">
        <v>172</v>
      </c>
      <c r="BH14" s="17" t="s">
        <v>532</v>
      </c>
      <c r="BI14" s="16"/>
    </row>
    <row r="15" spans="1:61" ht="56" x14ac:dyDescent="0.15">
      <c r="A15" s="15" t="s">
        <v>73</v>
      </c>
      <c r="B15" s="17">
        <v>13</v>
      </c>
      <c r="C15" s="17">
        <v>13</v>
      </c>
      <c r="D15" s="17">
        <v>0</v>
      </c>
      <c r="E15" s="17">
        <v>5</v>
      </c>
      <c r="F15" s="17">
        <v>0.82218391587957695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14</v>
      </c>
      <c r="V15" s="16"/>
      <c r="W15" s="16"/>
      <c r="X15" s="16"/>
      <c r="Y15" s="16"/>
      <c r="Z15" s="17">
        <v>17.911050499882599</v>
      </c>
      <c r="AA15" s="16"/>
      <c r="AB15" s="17">
        <v>17.9043652499095</v>
      </c>
      <c r="AC15" s="17">
        <v>17.911050499882599</v>
      </c>
      <c r="AD15" s="17">
        <v>17.911050499882599</v>
      </c>
      <c r="AE15" s="17">
        <v>18.735790707869501</v>
      </c>
      <c r="AF15" s="17">
        <v>5</v>
      </c>
      <c r="AG15" s="17">
        <v>0.82218391587957695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7" t="s">
        <v>530</v>
      </c>
      <c r="BB15" s="17">
        <v>1</v>
      </c>
      <c r="BC15" s="17" t="s">
        <v>531</v>
      </c>
      <c r="BD15" s="17" t="s">
        <v>61</v>
      </c>
      <c r="BE15" s="16"/>
      <c r="BF15" s="17" t="s">
        <v>62</v>
      </c>
      <c r="BG15" s="17" t="s">
        <v>172</v>
      </c>
      <c r="BH15" s="17" t="s">
        <v>532</v>
      </c>
      <c r="BI15" s="16"/>
    </row>
    <row r="16" spans="1:61" ht="56" x14ac:dyDescent="0.15">
      <c r="A16" s="15" t="s">
        <v>68</v>
      </c>
      <c r="B16" s="17">
        <v>14</v>
      </c>
      <c r="C16" s="17">
        <v>14</v>
      </c>
      <c r="D16" s="17">
        <v>0</v>
      </c>
      <c r="E16" s="17">
        <v>5</v>
      </c>
      <c r="F16" s="17">
        <v>0.80653383303433701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17</v>
      </c>
      <c r="V16" s="16"/>
      <c r="W16" s="16"/>
      <c r="X16" s="16"/>
      <c r="Y16" s="16"/>
      <c r="Z16" s="17">
        <v>18.743834333028602</v>
      </c>
      <c r="AA16" s="16"/>
      <c r="AB16" s="17">
        <v>18.737464291974899</v>
      </c>
      <c r="AC16" s="17">
        <v>18.743834333028602</v>
      </c>
      <c r="AD16" s="17">
        <v>18.743834333028602</v>
      </c>
      <c r="AE16" s="17">
        <v>19.552573207998702</v>
      </c>
      <c r="AF16" s="17">
        <v>5</v>
      </c>
      <c r="AG16" s="17">
        <v>0.80653383303433701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7" t="s">
        <v>530</v>
      </c>
      <c r="BB16" s="17">
        <v>1</v>
      </c>
      <c r="BC16" s="17" t="s">
        <v>531</v>
      </c>
      <c r="BD16" s="17" t="s">
        <v>61</v>
      </c>
      <c r="BE16" s="16"/>
      <c r="BF16" s="17" t="s">
        <v>62</v>
      </c>
      <c r="BG16" s="17" t="s">
        <v>172</v>
      </c>
      <c r="BH16" s="17" t="s">
        <v>532</v>
      </c>
      <c r="BI16" s="16"/>
    </row>
    <row r="17" spans="1:61" ht="56" x14ac:dyDescent="0.15">
      <c r="A17" s="15" t="s">
        <v>77</v>
      </c>
      <c r="B17" s="17">
        <v>15</v>
      </c>
      <c r="C17" s="17">
        <v>15</v>
      </c>
      <c r="D17" s="17">
        <v>0</v>
      </c>
      <c r="E17" s="17">
        <v>3.9280575539568301</v>
      </c>
      <c r="F17" s="17">
        <v>1.35494645801373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10</v>
      </c>
      <c r="V17" s="16"/>
      <c r="W17" s="16"/>
      <c r="X17" s="16"/>
      <c r="Y17" s="16"/>
      <c r="Z17" s="17">
        <v>19.561883083079</v>
      </c>
      <c r="AA17" s="16"/>
      <c r="AB17" s="17">
        <v>19.555176957976101</v>
      </c>
      <c r="AC17" s="17">
        <v>19.561883083079</v>
      </c>
      <c r="AD17" s="17">
        <v>19.561883083079</v>
      </c>
      <c r="AE17" s="17">
        <v>20.919155207928299</v>
      </c>
      <c r="AF17" s="17">
        <v>3.9280575539568301</v>
      </c>
      <c r="AG17" s="17">
        <v>1.35494645801373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7" t="s">
        <v>530</v>
      </c>
      <c r="BB17" s="17">
        <v>1</v>
      </c>
      <c r="BC17" s="17" t="s">
        <v>531</v>
      </c>
      <c r="BD17" s="17" t="s">
        <v>61</v>
      </c>
      <c r="BE17" s="16"/>
      <c r="BF17" s="17" t="s">
        <v>62</v>
      </c>
      <c r="BG17" s="17" t="s">
        <v>172</v>
      </c>
      <c r="BH17" s="17" t="s">
        <v>532</v>
      </c>
      <c r="BI17" s="16"/>
    </row>
    <row r="18" spans="1:61" ht="56" x14ac:dyDescent="0.15">
      <c r="A18" s="15" t="s">
        <v>71</v>
      </c>
      <c r="B18" s="17">
        <v>16</v>
      </c>
      <c r="C18" s="17">
        <v>16</v>
      </c>
      <c r="D18" s="17">
        <v>0</v>
      </c>
      <c r="E18" s="17">
        <v>4.8848920863309404</v>
      </c>
      <c r="F18" s="17">
        <v>1.2725047920830499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19</v>
      </c>
      <c r="V18" s="16"/>
      <c r="W18" s="16"/>
      <c r="X18" s="16"/>
      <c r="Y18" s="16"/>
      <c r="Z18" s="17">
        <v>20.927616792032499</v>
      </c>
      <c r="AA18" s="16"/>
      <c r="AB18" s="17">
        <v>20.920949291903501</v>
      </c>
      <c r="AC18" s="17">
        <v>20.927616792032499</v>
      </c>
      <c r="AD18" s="17">
        <v>20.927616792032499</v>
      </c>
      <c r="AE18" s="17">
        <v>22.202504083048598</v>
      </c>
      <c r="AF18" s="17">
        <v>4.8848920863309404</v>
      </c>
      <c r="AG18" s="17">
        <v>1.2725047920830499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7" t="s">
        <v>530</v>
      </c>
      <c r="BB18" s="17">
        <v>1</v>
      </c>
      <c r="BC18" s="17" t="s">
        <v>531</v>
      </c>
      <c r="BD18" s="17" t="s">
        <v>61</v>
      </c>
      <c r="BE18" s="16"/>
      <c r="BF18" s="17" t="s">
        <v>62</v>
      </c>
      <c r="BG18" s="17" t="s">
        <v>172</v>
      </c>
      <c r="BH18" s="17" t="s">
        <v>532</v>
      </c>
      <c r="BI18" s="16"/>
    </row>
    <row r="19" spans="1:61" ht="56" x14ac:dyDescent="0.15">
      <c r="A19" s="15" t="s">
        <v>69</v>
      </c>
      <c r="B19" s="17">
        <v>17</v>
      </c>
      <c r="C19" s="17">
        <v>17</v>
      </c>
      <c r="D19" s="17">
        <v>0</v>
      </c>
      <c r="E19" s="17">
        <v>1</v>
      </c>
      <c r="F19" s="17">
        <v>1.55576558294706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8</v>
      </c>
      <c r="V19" s="16"/>
      <c r="W19" s="16"/>
      <c r="X19" s="16"/>
      <c r="Y19" s="16"/>
      <c r="Z19" s="17">
        <v>22.211077000014502</v>
      </c>
      <c r="AA19" s="16"/>
      <c r="AB19" s="17">
        <v>22.2043787499424</v>
      </c>
      <c r="AC19" s="17">
        <v>22.211077000014502</v>
      </c>
      <c r="AD19" s="17">
        <v>22.211077000014502</v>
      </c>
      <c r="AE19" s="17">
        <v>23.769135083071902</v>
      </c>
      <c r="AF19" s="17">
        <v>1</v>
      </c>
      <c r="AG19" s="17">
        <v>1.55576558294706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7" t="s">
        <v>530</v>
      </c>
      <c r="BB19" s="17">
        <v>1</v>
      </c>
      <c r="BC19" s="17" t="s">
        <v>531</v>
      </c>
      <c r="BD19" s="17" t="s">
        <v>61</v>
      </c>
      <c r="BE19" s="16"/>
      <c r="BF19" s="17" t="s">
        <v>62</v>
      </c>
      <c r="BG19" s="17" t="s">
        <v>172</v>
      </c>
      <c r="BH19" s="17" t="s">
        <v>532</v>
      </c>
      <c r="BI19" s="16"/>
    </row>
    <row r="20" spans="1:61" ht="56" x14ac:dyDescent="0.15">
      <c r="A20" s="15" t="s">
        <v>72</v>
      </c>
      <c r="B20" s="17">
        <v>18</v>
      </c>
      <c r="C20" s="17">
        <v>18</v>
      </c>
      <c r="D20" s="17">
        <v>0</v>
      </c>
      <c r="E20" s="17">
        <v>1</v>
      </c>
      <c r="F20" s="17">
        <v>2.5228933750186102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0</v>
      </c>
      <c r="V20" s="16"/>
      <c r="W20" s="16"/>
      <c r="X20" s="16"/>
      <c r="Y20" s="16"/>
      <c r="Z20" s="17">
        <v>23.777424125000799</v>
      </c>
      <c r="AA20" s="16"/>
      <c r="AB20" s="17">
        <v>23.770718750078199</v>
      </c>
      <c r="AC20" s="17">
        <v>23.777424125000799</v>
      </c>
      <c r="AD20" s="17">
        <v>23.777424125000799</v>
      </c>
      <c r="AE20" s="17">
        <v>26.302370917051999</v>
      </c>
      <c r="AF20" s="17">
        <v>1</v>
      </c>
      <c r="AG20" s="17">
        <v>2.5228933750186102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7" t="s">
        <v>530</v>
      </c>
      <c r="BB20" s="17">
        <v>1</v>
      </c>
      <c r="BC20" s="17" t="s">
        <v>531</v>
      </c>
      <c r="BD20" s="17" t="s">
        <v>61</v>
      </c>
      <c r="BE20" s="16"/>
      <c r="BF20" s="17" t="s">
        <v>62</v>
      </c>
      <c r="BG20" s="17" t="s">
        <v>172</v>
      </c>
      <c r="BH20" s="17" t="s">
        <v>532</v>
      </c>
      <c r="BI20" s="16"/>
    </row>
    <row r="21" spans="1:61" ht="56" x14ac:dyDescent="0.15">
      <c r="A21" s="15" t="s">
        <v>70</v>
      </c>
      <c r="B21" s="17">
        <v>19</v>
      </c>
      <c r="C21" s="17">
        <v>19</v>
      </c>
      <c r="D21" s="17">
        <v>0</v>
      </c>
      <c r="E21" s="17">
        <v>1</v>
      </c>
      <c r="F21" s="17">
        <v>8.9887459580786508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2</v>
      </c>
      <c r="V21" s="16"/>
      <c r="W21" s="16"/>
      <c r="X21" s="16"/>
      <c r="Y21" s="16"/>
      <c r="Z21" s="17">
        <v>26.3110929999966</v>
      </c>
      <c r="AA21" s="16"/>
      <c r="AB21" s="17">
        <v>26.304359416943001</v>
      </c>
      <c r="AC21" s="17">
        <v>26.3110929999966</v>
      </c>
      <c r="AD21" s="17">
        <v>26.3110929999966</v>
      </c>
      <c r="AE21" s="17">
        <v>35.302447166992401</v>
      </c>
      <c r="AF21" s="17">
        <v>1</v>
      </c>
      <c r="AG21" s="17">
        <v>8.9887459580786508</v>
      </c>
      <c r="AH21" s="17">
        <v>34.3092437919695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7" t="s">
        <v>530</v>
      </c>
      <c r="BB21" s="17">
        <v>1</v>
      </c>
      <c r="BC21" s="17" t="s">
        <v>531</v>
      </c>
      <c r="BD21" s="17" t="s">
        <v>61</v>
      </c>
      <c r="BE21" s="16"/>
      <c r="BF21" s="17" t="s">
        <v>62</v>
      </c>
      <c r="BG21" s="17" t="s">
        <v>172</v>
      </c>
      <c r="BH21" s="17" t="s">
        <v>532</v>
      </c>
      <c r="BI21" s="16"/>
    </row>
    <row r="22" spans="1:61" ht="140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17" t="s">
        <v>144</v>
      </c>
      <c r="H22" s="17" t="s">
        <v>81</v>
      </c>
      <c r="I22" s="17" t="s">
        <v>84</v>
      </c>
      <c r="J22" s="17" t="s">
        <v>81</v>
      </c>
      <c r="K22" s="17" t="s">
        <v>533</v>
      </c>
      <c r="L22" s="17" t="s">
        <v>534</v>
      </c>
      <c r="M22" s="17" t="s">
        <v>206</v>
      </c>
      <c r="N22" s="17" t="s">
        <v>207</v>
      </c>
      <c r="O22" s="17" t="s">
        <v>207</v>
      </c>
      <c r="P22" s="17" t="s">
        <v>535</v>
      </c>
      <c r="Q22" s="17" t="s">
        <v>209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4</v>
      </c>
      <c r="Z22" s="17">
        <v>35.3200917080976</v>
      </c>
      <c r="AA22" s="16"/>
      <c r="AB22" s="16"/>
      <c r="AC22" s="16"/>
      <c r="AD22" s="16"/>
      <c r="AE22" s="16"/>
      <c r="AF22" s="16"/>
      <c r="AG22" s="16"/>
      <c r="AH22" s="16"/>
      <c r="AI22" s="17">
        <v>35.311233333079102</v>
      </c>
      <c r="AJ22" s="17">
        <v>35.3200917080976</v>
      </c>
      <c r="AK22" s="17">
        <v>35.3200917080976</v>
      </c>
      <c r="AL22" s="17">
        <v>35.3200917080976</v>
      </c>
      <c r="AM22" s="17">
        <v>8.7877921760082193E-3</v>
      </c>
      <c r="AN22" s="17">
        <v>43.877615750068799</v>
      </c>
      <c r="AO22" s="17" t="s">
        <v>81</v>
      </c>
      <c r="AP22" s="17" t="s">
        <v>533</v>
      </c>
      <c r="AQ22" s="17" t="s">
        <v>534</v>
      </c>
      <c r="AR22" s="17" t="s">
        <v>206</v>
      </c>
      <c r="AS22" s="17" t="s">
        <v>207</v>
      </c>
      <c r="AT22" s="17" t="s">
        <v>207</v>
      </c>
      <c r="AU22" s="17" t="s">
        <v>535</v>
      </c>
      <c r="AV22" s="17" t="s">
        <v>209</v>
      </c>
      <c r="AW22" s="16"/>
      <c r="AX22" s="16"/>
      <c r="AY22" s="16"/>
      <c r="AZ22" s="16"/>
      <c r="BA22" s="17" t="s">
        <v>530</v>
      </c>
      <c r="BB22" s="17">
        <v>1</v>
      </c>
      <c r="BC22" s="17" t="s">
        <v>531</v>
      </c>
      <c r="BD22" s="17" t="s">
        <v>61</v>
      </c>
      <c r="BE22" s="16"/>
      <c r="BF22" s="17" t="s">
        <v>62</v>
      </c>
      <c r="BG22" s="17" t="s">
        <v>172</v>
      </c>
      <c r="BH22" s="17" t="s">
        <v>532</v>
      </c>
      <c r="BI22" s="16"/>
    </row>
    <row r="23" spans="1:61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22" t="s">
        <v>136</v>
      </c>
      <c r="H23" s="22" t="s">
        <v>69</v>
      </c>
      <c r="I23" s="22" t="s">
        <v>84</v>
      </c>
      <c r="J23" s="23"/>
      <c r="K23" s="17" t="s">
        <v>536</v>
      </c>
      <c r="L23" s="17" t="s">
        <v>277</v>
      </c>
      <c r="M23" s="17" t="s">
        <v>87</v>
      </c>
      <c r="N23" s="17" t="s">
        <v>88</v>
      </c>
      <c r="O23" s="17" t="s">
        <v>88</v>
      </c>
      <c r="P23" s="17" t="s">
        <v>537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8</v>
      </c>
      <c r="Z23" s="17">
        <v>43.889358582906397</v>
      </c>
      <c r="AA23" s="16"/>
      <c r="AB23" s="16"/>
      <c r="AC23" s="16"/>
      <c r="AD23" s="16"/>
      <c r="AE23" s="16"/>
      <c r="AF23" s="16"/>
      <c r="AG23" s="16"/>
      <c r="AH23" s="16"/>
      <c r="AI23" s="17">
        <v>43.8803616669029</v>
      </c>
      <c r="AJ23" s="17">
        <v>43.889358582906397</v>
      </c>
      <c r="AK23" s="17">
        <v>43.889358582906397</v>
      </c>
      <c r="AL23" s="17">
        <v>43.889358582906397</v>
      </c>
      <c r="AM23" s="17">
        <v>2.5672919582575599E-3</v>
      </c>
      <c r="AN23" s="17">
        <v>46.392799749970401</v>
      </c>
      <c r="AO23" s="16"/>
      <c r="AP23" s="17" t="s">
        <v>536</v>
      </c>
      <c r="AQ23" s="17" t="s">
        <v>277</v>
      </c>
      <c r="AR23" s="17" t="s">
        <v>87</v>
      </c>
      <c r="AS23" s="17" t="s">
        <v>88</v>
      </c>
      <c r="AT23" s="17" t="s">
        <v>88</v>
      </c>
      <c r="AU23" s="17" t="s">
        <v>537</v>
      </c>
      <c r="AV23" s="17" t="s">
        <v>90</v>
      </c>
      <c r="AW23" s="16"/>
      <c r="AX23" s="16"/>
      <c r="AY23" s="16"/>
      <c r="AZ23" s="16"/>
      <c r="BA23" s="17" t="s">
        <v>530</v>
      </c>
      <c r="BB23" s="17">
        <v>1</v>
      </c>
      <c r="BC23" s="17" t="s">
        <v>531</v>
      </c>
      <c r="BD23" s="17" t="s">
        <v>61</v>
      </c>
      <c r="BE23" s="16"/>
      <c r="BF23" s="17" t="s">
        <v>62</v>
      </c>
      <c r="BG23" s="17" t="s">
        <v>172</v>
      </c>
      <c r="BH23" s="17" t="s">
        <v>532</v>
      </c>
      <c r="BI23" s="16"/>
    </row>
    <row r="24" spans="1:61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91</v>
      </c>
      <c r="H24" s="22" t="s">
        <v>71</v>
      </c>
      <c r="I24" s="22" t="s">
        <v>84</v>
      </c>
      <c r="J24" s="23"/>
      <c r="K24" s="17" t="s">
        <v>536</v>
      </c>
      <c r="L24" s="17" t="s">
        <v>277</v>
      </c>
      <c r="M24" s="17" t="s">
        <v>87</v>
      </c>
      <c r="N24" s="17" t="s">
        <v>88</v>
      </c>
      <c r="O24" s="17" t="s">
        <v>88</v>
      </c>
      <c r="P24" s="17" t="s">
        <v>538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19</v>
      </c>
      <c r="Z24" s="17">
        <v>46.401401916984497</v>
      </c>
      <c r="AA24" s="16"/>
      <c r="AB24" s="16"/>
      <c r="AC24" s="16"/>
      <c r="AD24" s="16"/>
      <c r="AE24" s="16"/>
      <c r="AF24" s="16"/>
      <c r="AG24" s="16"/>
      <c r="AH24" s="16"/>
      <c r="AI24" s="17">
        <v>46.3944212500937</v>
      </c>
      <c r="AJ24" s="17">
        <v>46.401401916984497</v>
      </c>
      <c r="AK24" s="17">
        <v>46.401401916984497</v>
      </c>
      <c r="AL24" s="17">
        <v>46.401401916984497</v>
      </c>
      <c r="AM24" s="17">
        <v>1.5293331816792499E-3</v>
      </c>
      <c r="AN24" s="17">
        <v>49.060987042030298</v>
      </c>
      <c r="AO24" s="16"/>
      <c r="AP24" s="17" t="s">
        <v>536</v>
      </c>
      <c r="AQ24" s="17" t="s">
        <v>277</v>
      </c>
      <c r="AR24" s="17" t="s">
        <v>87</v>
      </c>
      <c r="AS24" s="17" t="s">
        <v>88</v>
      </c>
      <c r="AT24" s="17" t="s">
        <v>88</v>
      </c>
      <c r="AU24" s="17" t="s">
        <v>538</v>
      </c>
      <c r="AV24" s="17" t="s">
        <v>90</v>
      </c>
      <c r="AW24" s="16"/>
      <c r="AX24" s="16"/>
      <c r="AY24" s="16"/>
      <c r="AZ24" s="16"/>
      <c r="BA24" s="17" t="s">
        <v>530</v>
      </c>
      <c r="BB24" s="17">
        <v>1</v>
      </c>
      <c r="BC24" s="17" t="s">
        <v>531</v>
      </c>
      <c r="BD24" s="17" t="s">
        <v>61</v>
      </c>
      <c r="BE24" s="16"/>
      <c r="BF24" s="17" t="s">
        <v>62</v>
      </c>
      <c r="BG24" s="17" t="s">
        <v>172</v>
      </c>
      <c r="BH24" s="17" t="s">
        <v>532</v>
      </c>
      <c r="BI24" s="16"/>
    </row>
    <row r="25" spans="1:61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17" t="s">
        <v>167</v>
      </c>
      <c r="H25" s="17" t="s">
        <v>59</v>
      </c>
      <c r="I25" s="17" t="s">
        <v>84</v>
      </c>
      <c r="J25" s="17" t="s">
        <v>59</v>
      </c>
      <c r="K25" s="17" t="s">
        <v>536</v>
      </c>
      <c r="L25" s="17" t="s">
        <v>277</v>
      </c>
      <c r="M25" s="17" t="s">
        <v>87</v>
      </c>
      <c r="N25" s="17" t="s">
        <v>88</v>
      </c>
      <c r="O25" s="17" t="s">
        <v>88</v>
      </c>
      <c r="P25" s="17" t="s">
        <v>539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12</v>
      </c>
      <c r="Z25" s="17">
        <v>49.071415416896301</v>
      </c>
      <c r="AA25" s="16"/>
      <c r="AB25" s="16"/>
      <c r="AC25" s="16"/>
      <c r="AD25" s="16"/>
      <c r="AE25" s="16"/>
      <c r="AF25" s="16"/>
      <c r="AG25" s="16"/>
      <c r="AH25" s="16"/>
      <c r="AI25" s="17">
        <v>49.063154707895599</v>
      </c>
      <c r="AJ25" s="17">
        <v>49.071415416896301</v>
      </c>
      <c r="AK25" s="17">
        <v>49.071415416896301</v>
      </c>
      <c r="AL25" s="17">
        <v>49.071415416896301</v>
      </c>
      <c r="AM25" s="17">
        <v>2.0872917957603901E-3</v>
      </c>
      <c r="AN25" s="17">
        <v>51.794320957967997</v>
      </c>
      <c r="AO25" s="17" t="s">
        <v>59</v>
      </c>
      <c r="AP25" s="17" t="s">
        <v>536</v>
      </c>
      <c r="AQ25" s="17" t="s">
        <v>277</v>
      </c>
      <c r="AR25" s="17" t="s">
        <v>87</v>
      </c>
      <c r="AS25" s="17" t="s">
        <v>88</v>
      </c>
      <c r="AT25" s="17" t="s">
        <v>88</v>
      </c>
      <c r="AU25" s="17" t="s">
        <v>539</v>
      </c>
      <c r="AV25" s="17" t="s">
        <v>90</v>
      </c>
      <c r="AW25" s="16"/>
      <c r="AX25" s="16"/>
      <c r="AY25" s="16"/>
      <c r="AZ25" s="16"/>
      <c r="BA25" s="17" t="s">
        <v>530</v>
      </c>
      <c r="BB25" s="17">
        <v>1</v>
      </c>
      <c r="BC25" s="17" t="s">
        <v>531</v>
      </c>
      <c r="BD25" s="17" t="s">
        <v>61</v>
      </c>
      <c r="BE25" s="16"/>
      <c r="BF25" s="17" t="s">
        <v>62</v>
      </c>
      <c r="BG25" s="17" t="s">
        <v>172</v>
      </c>
      <c r="BH25" s="17" t="s">
        <v>532</v>
      </c>
      <c r="BI25" s="16"/>
    </row>
    <row r="26" spans="1:61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164</v>
      </c>
      <c r="H26" s="17" t="s">
        <v>80</v>
      </c>
      <c r="I26" s="17" t="s">
        <v>84</v>
      </c>
      <c r="J26" s="17" t="s">
        <v>80</v>
      </c>
      <c r="K26" s="17" t="s">
        <v>536</v>
      </c>
      <c r="L26" s="17" t="s">
        <v>277</v>
      </c>
      <c r="M26" s="17" t="s">
        <v>87</v>
      </c>
      <c r="N26" s="17" t="s">
        <v>88</v>
      </c>
      <c r="O26" s="17" t="s">
        <v>88</v>
      </c>
      <c r="P26" s="17" t="s">
        <v>540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15</v>
      </c>
      <c r="Z26" s="17">
        <v>51.805945999920397</v>
      </c>
      <c r="AA26" s="16"/>
      <c r="AB26" s="16"/>
      <c r="AC26" s="16"/>
      <c r="AD26" s="16"/>
      <c r="AE26" s="16"/>
      <c r="AF26" s="16"/>
      <c r="AG26" s="16"/>
      <c r="AH26" s="16"/>
      <c r="AI26" s="17">
        <v>51.796330708078997</v>
      </c>
      <c r="AJ26" s="17">
        <v>51.805945999920397</v>
      </c>
      <c r="AK26" s="17">
        <v>51.805945999920397</v>
      </c>
      <c r="AL26" s="17">
        <v>51.805945999920397</v>
      </c>
      <c r="AM26" s="17">
        <v>1.9147498533129701E-3</v>
      </c>
      <c r="AN26" s="17">
        <v>54.294703749939799</v>
      </c>
      <c r="AO26" s="17" t="s">
        <v>80</v>
      </c>
      <c r="AP26" s="17" t="s">
        <v>536</v>
      </c>
      <c r="AQ26" s="17" t="s">
        <v>277</v>
      </c>
      <c r="AR26" s="17" t="s">
        <v>87</v>
      </c>
      <c r="AS26" s="17" t="s">
        <v>88</v>
      </c>
      <c r="AT26" s="17" t="s">
        <v>88</v>
      </c>
      <c r="AU26" s="17" t="s">
        <v>540</v>
      </c>
      <c r="AV26" s="17" t="s">
        <v>90</v>
      </c>
      <c r="AW26" s="16"/>
      <c r="AX26" s="16"/>
      <c r="AY26" s="16"/>
      <c r="AZ26" s="16"/>
      <c r="BA26" s="17" t="s">
        <v>530</v>
      </c>
      <c r="BB26" s="17">
        <v>1</v>
      </c>
      <c r="BC26" s="17" t="s">
        <v>531</v>
      </c>
      <c r="BD26" s="17" t="s">
        <v>61</v>
      </c>
      <c r="BE26" s="16"/>
      <c r="BF26" s="17" t="s">
        <v>62</v>
      </c>
      <c r="BG26" s="17" t="s">
        <v>172</v>
      </c>
      <c r="BH26" s="17" t="s">
        <v>532</v>
      </c>
      <c r="BI26" s="16"/>
    </row>
    <row r="27" spans="1:61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118</v>
      </c>
      <c r="H27" s="17" t="s">
        <v>75</v>
      </c>
      <c r="I27" s="17" t="s">
        <v>84</v>
      </c>
      <c r="J27" s="17" t="s">
        <v>75</v>
      </c>
      <c r="K27" s="17" t="s">
        <v>536</v>
      </c>
      <c r="L27" s="17" t="s">
        <v>277</v>
      </c>
      <c r="M27" s="17" t="s">
        <v>87</v>
      </c>
      <c r="N27" s="17" t="s">
        <v>88</v>
      </c>
      <c r="O27" s="17" t="s">
        <v>88</v>
      </c>
      <c r="P27" s="17" t="s">
        <v>541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7</v>
      </c>
      <c r="Z27" s="17">
        <v>54.306117542088003</v>
      </c>
      <c r="AA27" s="16"/>
      <c r="AB27" s="16"/>
      <c r="AC27" s="16"/>
      <c r="AD27" s="16"/>
      <c r="AE27" s="16"/>
      <c r="AF27" s="16"/>
      <c r="AG27" s="16"/>
      <c r="AH27" s="16"/>
      <c r="AI27" s="17">
        <v>54.296891999896602</v>
      </c>
      <c r="AJ27" s="17">
        <v>54.306117542088003</v>
      </c>
      <c r="AK27" s="17">
        <v>54.306117542088003</v>
      </c>
      <c r="AL27" s="17">
        <v>54.306117542088003</v>
      </c>
      <c r="AM27" s="17">
        <v>2.0924170967191501E-3</v>
      </c>
      <c r="AN27" s="17">
        <v>57.261396083049497</v>
      </c>
      <c r="AO27" s="17" t="s">
        <v>75</v>
      </c>
      <c r="AP27" s="17" t="s">
        <v>536</v>
      </c>
      <c r="AQ27" s="17" t="s">
        <v>277</v>
      </c>
      <c r="AR27" s="17" t="s">
        <v>87</v>
      </c>
      <c r="AS27" s="17" t="s">
        <v>88</v>
      </c>
      <c r="AT27" s="17" t="s">
        <v>88</v>
      </c>
      <c r="AU27" s="17" t="s">
        <v>541</v>
      </c>
      <c r="AV27" s="17" t="s">
        <v>90</v>
      </c>
      <c r="AW27" s="16"/>
      <c r="AX27" s="16"/>
      <c r="AY27" s="16"/>
      <c r="AZ27" s="16"/>
      <c r="BA27" s="17" t="s">
        <v>530</v>
      </c>
      <c r="BB27" s="17">
        <v>1</v>
      </c>
      <c r="BC27" s="17" t="s">
        <v>531</v>
      </c>
      <c r="BD27" s="17" t="s">
        <v>61</v>
      </c>
      <c r="BE27" s="16"/>
      <c r="BF27" s="17" t="s">
        <v>62</v>
      </c>
      <c r="BG27" s="17" t="s">
        <v>172</v>
      </c>
      <c r="BH27" s="17" t="s">
        <v>532</v>
      </c>
      <c r="BI27" s="16"/>
    </row>
    <row r="28" spans="1:61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22" t="s">
        <v>125</v>
      </c>
      <c r="H28" s="22" t="s">
        <v>65</v>
      </c>
      <c r="I28" s="22" t="s">
        <v>84</v>
      </c>
      <c r="J28" s="23"/>
      <c r="K28" s="17" t="s">
        <v>536</v>
      </c>
      <c r="L28" s="17" t="s">
        <v>277</v>
      </c>
      <c r="M28" s="17" t="s">
        <v>87</v>
      </c>
      <c r="N28" s="17" t="s">
        <v>88</v>
      </c>
      <c r="O28" s="17" t="s">
        <v>88</v>
      </c>
      <c r="P28" s="17" t="s">
        <v>542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11</v>
      </c>
      <c r="Z28" s="17">
        <v>57.272977042011902</v>
      </c>
      <c r="AA28" s="16"/>
      <c r="AB28" s="16"/>
      <c r="AC28" s="16"/>
      <c r="AD28" s="16"/>
      <c r="AE28" s="16"/>
      <c r="AF28" s="16"/>
      <c r="AG28" s="16"/>
      <c r="AH28" s="16"/>
      <c r="AI28" s="17">
        <v>57.263427957892397</v>
      </c>
      <c r="AJ28" s="17">
        <v>57.272977042011902</v>
      </c>
      <c r="AK28" s="17">
        <v>57.272977042011902</v>
      </c>
      <c r="AL28" s="17">
        <v>57.272977042011902</v>
      </c>
      <c r="AM28" s="17">
        <v>1.9363341853022599E-3</v>
      </c>
      <c r="AN28" s="17">
        <v>58.226943749934399</v>
      </c>
      <c r="AO28" s="16"/>
      <c r="AP28" s="17" t="s">
        <v>536</v>
      </c>
      <c r="AQ28" s="17" t="s">
        <v>277</v>
      </c>
      <c r="AR28" s="17" t="s">
        <v>87</v>
      </c>
      <c r="AS28" s="17" t="s">
        <v>88</v>
      </c>
      <c r="AT28" s="17" t="s">
        <v>88</v>
      </c>
      <c r="AU28" s="17" t="s">
        <v>542</v>
      </c>
      <c r="AV28" s="17" t="s">
        <v>90</v>
      </c>
      <c r="AW28" s="16"/>
      <c r="AX28" s="16"/>
      <c r="AY28" s="16"/>
      <c r="AZ28" s="16"/>
      <c r="BA28" s="17" t="s">
        <v>530</v>
      </c>
      <c r="BB28" s="17">
        <v>1</v>
      </c>
      <c r="BC28" s="17" t="s">
        <v>531</v>
      </c>
      <c r="BD28" s="17" t="s">
        <v>61</v>
      </c>
      <c r="BE28" s="16"/>
      <c r="BF28" s="17" t="s">
        <v>62</v>
      </c>
      <c r="BG28" s="17" t="s">
        <v>172</v>
      </c>
      <c r="BH28" s="17" t="s">
        <v>532</v>
      </c>
      <c r="BI28" s="16"/>
    </row>
    <row r="29" spans="1:61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138</v>
      </c>
      <c r="H29" s="22" t="s">
        <v>139</v>
      </c>
      <c r="I29" s="22" t="s">
        <v>96</v>
      </c>
      <c r="J29" s="22" t="s">
        <v>409</v>
      </c>
      <c r="K29" s="17" t="s">
        <v>536</v>
      </c>
      <c r="L29" s="17" t="s">
        <v>277</v>
      </c>
      <c r="M29" s="17" t="s">
        <v>87</v>
      </c>
      <c r="N29" s="17" t="s">
        <v>88</v>
      </c>
      <c r="O29" s="17" t="s">
        <v>88</v>
      </c>
      <c r="P29" s="17" t="s">
        <v>543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21</v>
      </c>
      <c r="Z29" s="17">
        <v>58.251603082986598</v>
      </c>
      <c r="AA29" s="16"/>
      <c r="AB29" s="16"/>
      <c r="AC29" s="16"/>
      <c r="AD29" s="16"/>
      <c r="AE29" s="16"/>
      <c r="AF29" s="16"/>
      <c r="AG29" s="16"/>
      <c r="AH29" s="16"/>
      <c r="AI29" s="17">
        <v>58.228686332935503</v>
      </c>
      <c r="AJ29" s="17">
        <v>58.251603082986598</v>
      </c>
      <c r="AK29" s="17">
        <v>58.251603082986598</v>
      </c>
      <c r="AL29" s="17">
        <v>58.251603082986598</v>
      </c>
      <c r="AM29" s="17">
        <v>1.6514591407030799E-3</v>
      </c>
      <c r="AN29" s="17">
        <v>60.544689957983799</v>
      </c>
      <c r="AO29" s="17" t="s">
        <v>409</v>
      </c>
      <c r="AP29" s="17" t="s">
        <v>536</v>
      </c>
      <c r="AQ29" s="17" t="s">
        <v>277</v>
      </c>
      <c r="AR29" s="17" t="s">
        <v>87</v>
      </c>
      <c r="AS29" s="17" t="s">
        <v>88</v>
      </c>
      <c r="AT29" s="17" t="s">
        <v>88</v>
      </c>
      <c r="AU29" s="17" t="s">
        <v>543</v>
      </c>
      <c r="AV29" s="17" t="s">
        <v>90</v>
      </c>
      <c r="AW29" s="16"/>
      <c r="AX29" s="16"/>
      <c r="AY29" s="16"/>
      <c r="AZ29" s="16"/>
      <c r="BA29" s="17" t="s">
        <v>530</v>
      </c>
      <c r="BB29" s="17">
        <v>1</v>
      </c>
      <c r="BC29" s="17" t="s">
        <v>531</v>
      </c>
      <c r="BD29" s="17" t="s">
        <v>61</v>
      </c>
      <c r="BE29" s="16"/>
      <c r="BF29" s="17" t="s">
        <v>62</v>
      </c>
      <c r="BG29" s="17" t="s">
        <v>172</v>
      </c>
      <c r="BH29" s="17" t="s">
        <v>532</v>
      </c>
      <c r="BI29" s="16"/>
    </row>
    <row r="30" spans="1:61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17" t="s">
        <v>129</v>
      </c>
      <c r="H30" s="17" t="s">
        <v>72</v>
      </c>
      <c r="I30" s="17" t="s">
        <v>84</v>
      </c>
      <c r="J30" s="17" t="s">
        <v>72</v>
      </c>
      <c r="K30" s="17" t="s">
        <v>536</v>
      </c>
      <c r="L30" s="17" t="s">
        <v>277</v>
      </c>
      <c r="M30" s="17" t="s">
        <v>87</v>
      </c>
      <c r="N30" s="17" t="s">
        <v>88</v>
      </c>
      <c r="O30" s="17" t="s">
        <v>88</v>
      </c>
      <c r="P30" s="17" t="s">
        <v>544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0</v>
      </c>
      <c r="Z30" s="17">
        <v>60.556143166962997</v>
      </c>
      <c r="AA30" s="16"/>
      <c r="AB30" s="16"/>
      <c r="AC30" s="16"/>
      <c r="AD30" s="16"/>
      <c r="AE30" s="16"/>
      <c r="AF30" s="16"/>
      <c r="AG30" s="16"/>
      <c r="AH30" s="16"/>
      <c r="AI30" s="17">
        <v>60.546458750031903</v>
      </c>
      <c r="AJ30" s="17">
        <v>60.556143166962997</v>
      </c>
      <c r="AK30" s="17">
        <v>60.556143166962997</v>
      </c>
      <c r="AL30" s="17">
        <v>60.556143166962997</v>
      </c>
      <c r="AM30" s="17">
        <v>1.6760418657213499E-3</v>
      </c>
      <c r="AN30" s="17">
        <v>62.494487208081402</v>
      </c>
      <c r="AO30" s="17" t="s">
        <v>72</v>
      </c>
      <c r="AP30" s="17" t="s">
        <v>536</v>
      </c>
      <c r="AQ30" s="17" t="s">
        <v>277</v>
      </c>
      <c r="AR30" s="17" t="s">
        <v>87</v>
      </c>
      <c r="AS30" s="17" t="s">
        <v>88</v>
      </c>
      <c r="AT30" s="17" t="s">
        <v>88</v>
      </c>
      <c r="AU30" s="17" t="s">
        <v>544</v>
      </c>
      <c r="AV30" s="17" t="s">
        <v>90</v>
      </c>
      <c r="AW30" s="16"/>
      <c r="AX30" s="16"/>
      <c r="AY30" s="16"/>
      <c r="AZ30" s="16"/>
      <c r="BA30" s="17" t="s">
        <v>530</v>
      </c>
      <c r="BB30" s="17">
        <v>1</v>
      </c>
      <c r="BC30" s="17" t="s">
        <v>531</v>
      </c>
      <c r="BD30" s="17" t="s">
        <v>61</v>
      </c>
      <c r="BE30" s="16"/>
      <c r="BF30" s="17" t="s">
        <v>62</v>
      </c>
      <c r="BG30" s="17" t="s">
        <v>172</v>
      </c>
      <c r="BH30" s="17" t="s">
        <v>532</v>
      </c>
      <c r="BI30" s="16"/>
    </row>
    <row r="31" spans="1:61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104</v>
      </c>
      <c r="H31" s="17" t="s">
        <v>70</v>
      </c>
      <c r="I31" s="17" t="s">
        <v>84</v>
      </c>
      <c r="J31" s="17" t="s">
        <v>70</v>
      </c>
      <c r="K31" s="17" t="s">
        <v>536</v>
      </c>
      <c r="L31" s="17" t="s">
        <v>277</v>
      </c>
      <c r="M31" s="17" t="s">
        <v>87</v>
      </c>
      <c r="N31" s="17" t="s">
        <v>88</v>
      </c>
      <c r="O31" s="17" t="s">
        <v>88</v>
      </c>
      <c r="P31" s="17" t="s">
        <v>545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2</v>
      </c>
      <c r="Z31" s="17">
        <v>62.506098916987</v>
      </c>
      <c r="AA31" s="16"/>
      <c r="AB31" s="16"/>
      <c r="AC31" s="16"/>
      <c r="AD31" s="16"/>
      <c r="AE31" s="16"/>
      <c r="AF31" s="16"/>
      <c r="AG31" s="16"/>
      <c r="AH31" s="16"/>
      <c r="AI31" s="17">
        <v>62.497078999876997</v>
      </c>
      <c r="AJ31" s="17">
        <v>62.506098916987</v>
      </c>
      <c r="AK31" s="17">
        <v>62.506098916987</v>
      </c>
      <c r="AL31" s="17">
        <v>62.506098916987</v>
      </c>
      <c r="AM31" s="17">
        <v>2.48954095877707E-3</v>
      </c>
      <c r="AN31" s="17">
        <v>65.011401375057204</v>
      </c>
      <c r="AO31" s="17" t="s">
        <v>70</v>
      </c>
      <c r="AP31" s="17" t="s">
        <v>536</v>
      </c>
      <c r="AQ31" s="17" t="s">
        <v>277</v>
      </c>
      <c r="AR31" s="17" t="s">
        <v>87</v>
      </c>
      <c r="AS31" s="17" t="s">
        <v>88</v>
      </c>
      <c r="AT31" s="17" t="s">
        <v>88</v>
      </c>
      <c r="AU31" s="17" t="s">
        <v>545</v>
      </c>
      <c r="AV31" s="17" t="s">
        <v>90</v>
      </c>
      <c r="AW31" s="16"/>
      <c r="AX31" s="16"/>
      <c r="AY31" s="16"/>
      <c r="AZ31" s="16"/>
      <c r="BA31" s="17" t="s">
        <v>530</v>
      </c>
      <c r="BB31" s="17">
        <v>1</v>
      </c>
      <c r="BC31" s="17" t="s">
        <v>531</v>
      </c>
      <c r="BD31" s="17" t="s">
        <v>61</v>
      </c>
      <c r="BE31" s="16"/>
      <c r="BF31" s="17" t="s">
        <v>62</v>
      </c>
      <c r="BG31" s="17" t="s">
        <v>172</v>
      </c>
      <c r="BH31" s="17" t="s">
        <v>532</v>
      </c>
      <c r="BI31" s="16"/>
    </row>
    <row r="32" spans="1:61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22" t="s">
        <v>152</v>
      </c>
      <c r="H32" s="22" t="s">
        <v>153</v>
      </c>
      <c r="I32" s="22" t="s">
        <v>96</v>
      </c>
      <c r="J32" s="23"/>
      <c r="K32" s="17" t="s">
        <v>536</v>
      </c>
      <c r="L32" s="17" t="s">
        <v>277</v>
      </c>
      <c r="M32" s="17" t="s">
        <v>87</v>
      </c>
      <c r="N32" s="17" t="s">
        <v>88</v>
      </c>
      <c r="O32" s="17" t="s">
        <v>88</v>
      </c>
      <c r="P32" s="17" t="s">
        <v>546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20</v>
      </c>
      <c r="Z32" s="17">
        <v>65.022787916939706</v>
      </c>
      <c r="AA32" s="16"/>
      <c r="AB32" s="16"/>
      <c r="AC32" s="16"/>
      <c r="AD32" s="16"/>
      <c r="AE32" s="16"/>
      <c r="AF32" s="16"/>
      <c r="AG32" s="16"/>
      <c r="AH32" s="16"/>
      <c r="AI32" s="17">
        <v>65.014040166977793</v>
      </c>
      <c r="AJ32" s="17">
        <v>65.022787916939706</v>
      </c>
      <c r="AK32" s="17">
        <v>65.022787916939706</v>
      </c>
      <c r="AL32" s="17">
        <v>65.022787916939706</v>
      </c>
      <c r="AM32" s="17">
        <v>2.5287079624831698E-3</v>
      </c>
      <c r="AN32" s="17">
        <v>66.760776625014799</v>
      </c>
      <c r="AO32" s="16"/>
      <c r="AP32" s="17" t="s">
        <v>536</v>
      </c>
      <c r="AQ32" s="17" t="s">
        <v>277</v>
      </c>
      <c r="AR32" s="17" t="s">
        <v>87</v>
      </c>
      <c r="AS32" s="17" t="s">
        <v>88</v>
      </c>
      <c r="AT32" s="17" t="s">
        <v>88</v>
      </c>
      <c r="AU32" s="17" t="s">
        <v>546</v>
      </c>
      <c r="AV32" s="17" t="s">
        <v>90</v>
      </c>
      <c r="AW32" s="16"/>
      <c r="AX32" s="16"/>
      <c r="AY32" s="16"/>
      <c r="AZ32" s="16"/>
      <c r="BA32" s="17" t="s">
        <v>530</v>
      </c>
      <c r="BB32" s="17">
        <v>1</v>
      </c>
      <c r="BC32" s="17" t="s">
        <v>531</v>
      </c>
      <c r="BD32" s="17" t="s">
        <v>61</v>
      </c>
      <c r="BE32" s="16"/>
      <c r="BF32" s="17" t="s">
        <v>62</v>
      </c>
      <c r="BG32" s="17" t="s">
        <v>172</v>
      </c>
      <c r="BH32" s="17" t="s">
        <v>532</v>
      </c>
      <c r="BI32" s="16"/>
    </row>
    <row r="33" spans="1:61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17" t="s">
        <v>160</v>
      </c>
      <c r="H33" s="17" t="s">
        <v>79</v>
      </c>
      <c r="I33" s="17" t="s">
        <v>84</v>
      </c>
      <c r="J33" s="17" t="s">
        <v>79</v>
      </c>
      <c r="K33" s="17" t="s">
        <v>536</v>
      </c>
      <c r="L33" s="17" t="s">
        <v>277</v>
      </c>
      <c r="M33" s="17" t="s">
        <v>87</v>
      </c>
      <c r="N33" s="17" t="s">
        <v>88</v>
      </c>
      <c r="O33" s="17" t="s">
        <v>88</v>
      </c>
      <c r="P33" s="17" t="s">
        <v>547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3</v>
      </c>
      <c r="Z33" s="17">
        <v>66.784885874949396</v>
      </c>
      <c r="AA33" s="16"/>
      <c r="AB33" s="16"/>
      <c r="AC33" s="16"/>
      <c r="AD33" s="16"/>
      <c r="AE33" s="16"/>
      <c r="AF33" s="16"/>
      <c r="AG33" s="16"/>
      <c r="AH33" s="16"/>
      <c r="AI33" s="17">
        <v>66.762303625000598</v>
      </c>
      <c r="AJ33" s="17">
        <v>66.784885874949396</v>
      </c>
      <c r="AK33" s="17">
        <v>66.784885874949396</v>
      </c>
      <c r="AL33" s="17">
        <v>66.784885874949396</v>
      </c>
      <c r="AM33" s="17">
        <v>1.4312500134110501E-3</v>
      </c>
      <c r="AN33" s="17">
        <v>71.294820457929802</v>
      </c>
      <c r="AO33" s="17" t="s">
        <v>79</v>
      </c>
      <c r="AP33" s="17" t="s">
        <v>536</v>
      </c>
      <c r="AQ33" s="17" t="s">
        <v>277</v>
      </c>
      <c r="AR33" s="17" t="s">
        <v>87</v>
      </c>
      <c r="AS33" s="17" t="s">
        <v>88</v>
      </c>
      <c r="AT33" s="17" t="s">
        <v>88</v>
      </c>
      <c r="AU33" s="17" t="s">
        <v>547</v>
      </c>
      <c r="AV33" s="17" t="s">
        <v>90</v>
      </c>
      <c r="AW33" s="16"/>
      <c r="AX33" s="16"/>
      <c r="AY33" s="16"/>
      <c r="AZ33" s="16"/>
      <c r="BA33" s="17" t="s">
        <v>530</v>
      </c>
      <c r="BB33" s="17">
        <v>1</v>
      </c>
      <c r="BC33" s="17" t="s">
        <v>531</v>
      </c>
      <c r="BD33" s="17" t="s">
        <v>61</v>
      </c>
      <c r="BE33" s="16"/>
      <c r="BF33" s="17" t="s">
        <v>62</v>
      </c>
      <c r="BG33" s="17" t="s">
        <v>172</v>
      </c>
      <c r="BH33" s="17" t="s">
        <v>532</v>
      </c>
      <c r="BI33" s="16"/>
    </row>
    <row r="34" spans="1:61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133</v>
      </c>
      <c r="H34" s="17" t="s">
        <v>64</v>
      </c>
      <c r="I34" s="17" t="s">
        <v>84</v>
      </c>
      <c r="J34" s="17" t="s">
        <v>64</v>
      </c>
      <c r="K34" s="17" t="s">
        <v>536</v>
      </c>
      <c r="L34" s="17" t="s">
        <v>277</v>
      </c>
      <c r="M34" s="17" t="s">
        <v>87</v>
      </c>
      <c r="N34" s="17" t="s">
        <v>88</v>
      </c>
      <c r="O34" s="17" t="s">
        <v>88</v>
      </c>
      <c r="P34" s="17" t="s">
        <v>548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18</v>
      </c>
      <c r="Z34" s="17">
        <v>71.306346500059604</v>
      </c>
      <c r="AA34" s="16"/>
      <c r="AB34" s="16"/>
      <c r="AC34" s="16"/>
      <c r="AD34" s="16"/>
      <c r="AE34" s="16"/>
      <c r="AF34" s="16"/>
      <c r="AG34" s="16"/>
      <c r="AH34" s="16"/>
      <c r="AI34" s="17">
        <v>71.297425332944798</v>
      </c>
      <c r="AJ34" s="17">
        <v>71.306346500059604</v>
      </c>
      <c r="AK34" s="17">
        <v>71.306346500059604</v>
      </c>
      <c r="AL34" s="17">
        <v>71.306346500059604</v>
      </c>
      <c r="AM34" s="17">
        <v>2.5044169742614E-3</v>
      </c>
      <c r="AN34" s="17">
        <v>74.944564833073002</v>
      </c>
      <c r="AO34" s="17" t="s">
        <v>64</v>
      </c>
      <c r="AP34" s="17" t="s">
        <v>536</v>
      </c>
      <c r="AQ34" s="17" t="s">
        <v>277</v>
      </c>
      <c r="AR34" s="17" t="s">
        <v>87</v>
      </c>
      <c r="AS34" s="17" t="s">
        <v>88</v>
      </c>
      <c r="AT34" s="17" t="s">
        <v>88</v>
      </c>
      <c r="AU34" s="17" t="s">
        <v>548</v>
      </c>
      <c r="AV34" s="17" t="s">
        <v>90</v>
      </c>
      <c r="AW34" s="16"/>
      <c r="AX34" s="16"/>
      <c r="AY34" s="16"/>
      <c r="AZ34" s="16"/>
      <c r="BA34" s="17" t="s">
        <v>530</v>
      </c>
      <c r="BB34" s="17">
        <v>1</v>
      </c>
      <c r="BC34" s="17" t="s">
        <v>531</v>
      </c>
      <c r="BD34" s="17" t="s">
        <v>61</v>
      </c>
      <c r="BE34" s="16"/>
      <c r="BF34" s="17" t="s">
        <v>62</v>
      </c>
      <c r="BG34" s="17" t="s">
        <v>172</v>
      </c>
      <c r="BH34" s="17" t="s">
        <v>532</v>
      </c>
      <c r="BI34" s="16"/>
    </row>
    <row r="35" spans="1:61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17" t="s">
        <v>114</v>
      </c>
      <c r="H35" s="17" t="s">
        <v>73</v>
      </c>
      <c r="I35" s="17" t="s">
        <v>84</v>
      </c>
      <c r="J35" s="17" t="s">
        <v>73</v>
      </c>
      <c r="K35" s="17" t="s">
        <v>536</v>
      </c>
      <c r="L35" s="17" t="s">
        <v>277</v>
      </c>
      <c r="M35" s="17" t="s">
        <v>87</v>
      </c>
      <c r="N35" s="17" t="s">
        <v>88</v>
      </c>
      <c r="O35" s="17" t="s">
        <v>88</v>
      </c>
      <c r="P35" s="17" t="s">
        <v>549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14</v>
      </c>
      <c r="Z35" s="17">
        <v>74.956109707942204</v>
      </c>
      <c r="AA35" s="16"/>
      <c r="AB35" s="16"/>
      <c r="AC35" s="16"/>
      <c r="AD35" s="16"/>
      <c r="AE35" s="16"/>
      <c r="AF35" s="16"/>
      <c r="AG35" s="16"/>
      <c r="AH35" s="16"/>
      <c r="AI35" s="17">
        <v>74.946566208032905</v>
      </c>
      <c r="AJ35" s="17">
        <v>74.956109707942204</v>
      </c>
      <c r="AK35" s="17">
        <v>74.956109707942204</v>
      </c>
      <c r="AL35" s="17">
        <v>74.956109707942204</v>
      </c>
      <c r="AM35" s="17">
        <v>1.90816610120237E-3</v>
      </c>
      <c r="AN35" s="17">
        <v>79.077840832993402</v>
      </c>
      <c r="AO35" s="17" t="s">
        <v>73</v>
      </c>
      <c r="AP35" s="17" t="s">
        <v>536</v>
      </c>
      <c r="AQ35" s="17" t="s">
        <v>277</v>
      </c>
      <c r="AR35" s="17" t="s">
        <v>87</v>
      </c>
      <c r="AS35" s="17" t="s">
        <v>88</v>
      </c>
      <c r="AT35" s="17" t="s">
        <v>88</v>
      </c>
      <c r="AU35" s="17" t="s">
        <v>549</v>
      </c>
      <c r="AV35" s="17" t="s">
        <v>90</v>
      </c>
      <c r="AW35" s="16"/>
      <c r="AX35" s="16"/>
      <c r="AY35" s="16"/>
      <c r="AZ35" s="16"/>
      <c r="BA35" s="17" t="s">
        <v>530</v>
      </c>
      <c r="BB35" s="17">
        <v>1</v>
      </c>
      <c r="BC35" s="17" t="s">
        <v>531</v>
      </c>
      <c r="BD35" s="17" t="s">
        <v>61</v>
      </c>
      <c r="BE35" s="16"/>
      <c r="BF35" s="17" t="s">
        <v>62</v>
      </c>
      <c r="BG35" s="17" t="s">
        <v>172</v>
      </c>
      <c r="BH35" s="17" t="s">
        <v>532</v>
      </c>
      <c r="BI35" s="16"/>
    </row>
    <row r="36" spans="1:61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17" t="s">
        <v>106</v>
      </c>
      <c r="H36" s="17" t="s">
        <v>107</v>
      </c>
      <c r="I36" s="17" t="s">
        <v>96</v>
      </c>
      <c r="J36" s="17" t="s">
        <v>107</v>
      </c>
      <c r="K36" s="17" t="s">
        <v>536</v>
      </c>
      <c r="L36" s="17" t="s">
        <v>277</v>
      </c>
      <c r="M36" s="17" t="s">
        <v>87</v>
      </c>
      <c r="N36" s="17" t="s">
        <v>88</v>
      </c>
      <c r="O36" s="17" t="s">
        <v>88</v>
      </c>
      <c r="P36" s="17" t="s">
        <v>550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23</v>
      </c>
      <c r="Z36" s="17">
        <v>79.089112916961298</v>
      </c>
      <c r="AA36" s="16"/>
      <c r="AB36" s="16"/>
      <c r="AC36" s="16"/>
      <c r="AD36" s="16"/>
      <c r="AE36" s="16"/>
      <c r="AF36" s="16"/>
      <c r="AG36" s="16"/>
      <c r="AH36" s="16"/>
      <c r="AI36" s="17">
        <v>79.079806542024002</v>
      </c>
      <c r="AJ36" s="17">
        <v>79.089112916961298</v>
      </c>
      <c r="AK36" s="17">
        <v>79.089112916961298</v>
      </c>
      <c r="AL36" s="17">
        <v>79.089112916961298</v>
      </c>
      <c r="AM36" s="17">
        <v>1.8727080896496801E-3</v>
      </c>
      <c r="AN36" s="17">
        <v>81.994404667057097</v>
      </c>
      <c r="AO36" s="17" t="s">
        <v>107</v>
      </c>
      <c r="AP36" s="17" t="s">
        <v>536</v>
      </c>
      <c r="AQ36" s="17" t="s">
        <v>277</v>
      </c>
      <c r="AR36" s="17" t="s">
        <v>87</v>
      </c>
      <c r="AS36" s="17" t="s">
        <v>88</v>
      </c>
      <c r="AT36" s="17" t="s">
        <v>88</v>
      </c>
      <c r="AU36" s="17" t="s">
        <v>550</v>
      </c>
      <c r="AV36" s="17" t="s">
        <v>90</v>
      </c>
      <c r="AW36" s="16"/>
      <c r="AX36" s="16"/>
      <c r="AY36" s="16"/>
      <c r="AZ36" s="16"/>
      <c r="BA36" s="17" t="s">
        <v>530</v>
      </c>
      <c r="BB36" s="17">
        <v>1</v>
      </c>
      <c r="BC36" s="17" t="s">
        <v>531</v>
      </c>
      <c r="BD36" s="17" t="s">
        <v>61</v>
      </c>
      <c r="BE36" s="16"/>
      <c r="BF36" s="17" t="s">
        <v>62</v>
      </c>
      <c r="BG36" s="17" t="s">
        <v>172</v>
      </c>
      <c r="BH36" s="17" t="s">
        <v>532</v>
      </c>
      <c r="BI36" s="16"/>
    </row>
    <row r="37" spans="1:61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17" t="s">
        <v>142</v>
      </c>
      <c r="H37" s="17" t="s">
        <v>67</v>
      </c>
      <c r="I37" s="17" t="s">
        <v>84</v>
      </c>
      <c r="J37" s="17" t="s">
        <v>67</v>
      </c>
      <c r="K37" s="17" t="s">
        <v>536</v>
      </c>
      <c r="L37" s="17" t="s">
        <v>277</v>
      </c>
      <c r="M37" s="17" t="s">
        <v>87</v>
      </c>
      <c r="N37" s="17" t="s">
        <v>88</v>
      </c>
      <c r="O37" s="17" t="s">
        <v>88</v>
      </c>
      <c r="P37" s="17" t="s">
        <v>551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16</v>
      </c>
      <c r="Z37" s="17">
        <v>82.005986208096203</v>
      </c>
      <c r="AA37" s="16"/>
      <c r="AB37" s="16"/>
      <c r="AC37" s="16"/>
      <c r="AD37" s="16"/>
      <c r="AE37" s="16"/>
      <c r="AF37" s="16"/>
      <c r="AG37" s="16"/>
      <c r="AH37" s="16"/>
      <c r="AI37" s="17">
        <v>81.997148666996495</v>
      </c>
      <c r="AJ37" s="17">
        <v>82.005986208096203</v>
      </c>
      <c r="AK37" s="17">
        <v>82.005986208096203</v>
      </c>
      <c r="AL37" s="17">
        <v>82.005986208096203</v>
      </c>
      <c r="AM37" s="17">
        <v>2.6526250876486301E-3</v>
      </c>
      <c r="AN37" s="17">
        <v>85.011115208035307</v>
      </c>
      <c r="AO37" s="17" t="s">
        <v>67</v>
      </c>
      <c r="AP37" s="17" t="s">
        <v>536</v>
      </c>
      <c r="AQ37" s="17" t="s">
        <v>277</v>
      </c>
      <c r="AR37" s="17" t="s">
        <v>87</v>
      </c>
      <c r="AS37" s="17" t="s">
        <v>88</v>
      </c>
      <c r="AT37" s="17" t="s">
        <v>88</v>
      </c>
      <c r="AU37" s="17" t="s">
        <v>551</v>
      </c>
      <c r="AV37" s="17" t="s">
        <v>90</v>
      </c>
      <c r="AW37" s="16"/>
      <c r="AX37" s="16"/>
      <c r="AY37" s="16"/>
      <c r="AZ37" s="16"/>
      <c r="BA37" s="17" t="s">
        <v>530</v>
      </c>
      <c r="BB37" s="17">
        <v>1</v>
      </c>
      <c r="BC37" s="17" t="s">
        <v>531</v>
      </c>
      <c r="BD37" s="17" t="s">
        <v>61</v>
      </c>
      <c r="BE37" s="16"/>
      <c r="BF37" s="17" t="s">
        <v>62</v>
      </c>
      <c r="BG37" s="17" t="s">
        <v>172</v>
      </c>
      <c r="BH37" s="17" t="s">
        <v>532</v>
      </c>
      <c r="BI37" s="16"/>
    </row>
    <row r="38" spans="1:61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22" t="s">
        <v>169</v>
      </c>
      <c r="H38" s="22" t="s">
        <v>77</v>
      </c>
      <c r="I38" s="22" t="s">
        <v>84</v>
      </c>
      <c r="J38" s="23"/>
      <c r="K38" s="17" t="s">
        <v>536</v>
      </c>
      <c r="L38" s="17" t="s">
        <v>277</v>
      </c>
      <c r="M38" s="17" t="s">
        <v>87</v>
      </c>
      <c r="N38" s="17" t="s">
        <v>88</v>
      </c>
      <c r="O38" s="17" t="s">
        <v>88</v>
      </c>
      <c r="P38" s="17" t="s">
        <v>552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10</v>
      </c>
      <c r="Z38" s="17">
        <v>85.0227444579359</v>
      </c>
      <c r="AA38" s="16"/>
      <c r="AB38" s="16"/>
      <c r="AC38" s="16"/>
      <c r="AD38" s="16"/>
      <c r="AE38" s="16"/>
      <c r="AF38" s="16"/>
      <c r="AG38" s="16"/>
      <c r="AH38" s="16"/>
      <c r="AI38" s="17">
        <v>85.013403041986805</v>
      </c>
      <c r="AJ38" s="17">
        <v>85.0227444579359</v>
      </c>
      <c r="AK38" s="17">
        <v>85.0227444579359</v>
      </c>
      <c r="AL38" s="17">
        <v>85.0227444579359</v>
      </c>
      <c r="AM38" s="17">
        <v>2.1955831907689602E-3</v>
      </c>
      <c r="AN38" s="17">
        <v>86.476845332886995</v>
      </c>
      <c r="AO38" s="16"/>
      <c r="AP38" s="17" t="s">
        <v>536</v>
      </c>
      <c r="AQ38" s="17" t="s">
        <v>277</v>
      </c>
      <c r="AR38" s="17" t="s">
        <v>87</v>
      </c>
      <c r="AS38" s="17" t="s">
        <v>88</v>
      </c>
      <c r="AT38" s="17" t="s">
        <v>88</v>
      </c>
      <c r="AU38" s="17" t="s">
        <v>552</v>
      </c>
      <c r="AV38" s="17" t="s">
        <v>90</v>
      </c>
      <c r="AW38" s="16"/>
      <c r="AX38" s="16"/>
      <c r="AY38" s="16"/>
      <c r="AZ38" s="16"/>
      <c r="BA38" s="17" t="s">
        <v>530</v>
      </c>
      <c r="BB38" s="17">
        <v>1</v>
      </c>
      <c r="BC38" s="17" t="s">
        <v>531</v>
      </c>
      <c r="BD38" s="17" t="s">
        <v>61</v>
      </c>
      <c r="BE38" s="16"/>
      <c r="BF38" s="17" t="s">
        <v>62</v>
      </c>
      <c r="BG38" s="17" t="s">
        <v>172</v>
      </c>
      <c r="BH38" s="17" t="s">
        <v>532</v>
      </c>
      <c r="BI38" s="16"/>
    </row>
    <row r="39" spans="1:61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131</v>
      </c>
      <c r="H39" s="22" t="s">
        <v>76</v>
      </c>
      <c r="I39" s="22" t="s">
        <v>84</v>
      </c>
      <c r="J39" s="23"/>
      <c r="K39" s="17" t="s">
        <v>553</v>
      </c>
      <c r="L39" s="17" t="s">
        <v>244</v>
      </c>
      <c r="M39" s="17" t="s">
        <v>87</v>
      </c>
      <c r="N39" s="17" t="s">
        <v>88</v>
      </c>
      <c r="O39" s="17" t="s">
        <v>88</v>
      </c>
      <c r="P39" s="17" t="s">
        <v>554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6</v>
      </c>
      <c r="Z39" s="17">
        <v>86.501429792027906</v>
      </c>
      <c r="AA39" s="16"/>
      <c r="AB39" s="16"/>
      <c r="AC39" s="16"/>
      <c r="AD39" s="16"/>
      <c r="AE39" s="16"/>
      <c r="AF39" s="16"/>
      <c r="AG39" s="16"/>
      <c r="AH39" s="16"/>
      <c r="AI39" s="17">
        <v>86.478611875092597</v>
      </c>
      <c r="AJ39" s="17">
        <v>86.501429792027906</v>
      </c>
      <c r="AK39" s="17">
        <v>86.501429792027906</v>
      </c>
      <c r="AL39" s="17">
        <v>86.501429792027906</v>
      </c>
      <c r="AM39" s="17">
        <v>1.6840409953147199E-3</v>
      </c>
      <c r="AN39" s="17">
        <v>93.776197625091299</v>
      </c>
      <c r="AO39" s="16"/>
      <c r="AP39" s="17" t="s">
        <v>553</v>
      </c>
      <c r="AQ39" s="17" t="s">
        <v>244</v>
      </c>
      <c r="AR39" s="17" t="s">
        <v>87</v>
      </c>
      <c r="AS39" s="17" t="s">
        <v>88</v>
      </c>
      <c r="AT39" s="17" t="s">
        <v>88</v>
      </c>
      <c r="AU39" s="17" t="s">
        <v>554</v>
      </c>
      <c r="AV39" s="17" t="s">
        <v>90</v>
      </c>
      <c r="AW39" s="16"/>
      <c r="AX39" s="16"/>
      <c r="AY39" s="16"/>
      <c r="AZ39" s="16"/>
      <c r="BA39" s="17" t="s">
        <v>530</v>
      </c>
      <c r="BB39" s="17">
        <v>1</v>
      </c>
      <c r="BC39" s="17" t="s">
        <v>531</v>
      </c>
      <c r="BD39" s="17" t="s">
        <v>61</v>
      </c>
      <c r="BE39" s="16"/>
      <c r="BF39" s="17" t="s">
        <v>62</v>
      </c>
      <c r="BG39" s="17" t="s">
        <v>172</v>
      </c>
      <c r="BH39" s="17" t="s">
        <v>532</v>
      </c>
      <c r="BI39" s="16"/>
    </row>
    <row r="40" spans="1:61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22" t="s">
        <v>148</v>
      </c>
      <c r="H40" s="22" t="s">
        <v>74</v>
      </c>
      <c r="I40" s="22" t="s">
        <v>84</v>
      </c>
      <c r="J40" s="23"/>
      <c r="K40" s="17" t="s">
        <v>553</v>
      </c>
      <c r="L40" s="17" t="s">
        <v>244</v>
      </c>
      <c r="M40" s="17" t="s">
        <v>87</v>
      </c>
      <c r="N40" s="17" t="s">
        <v>88</v>
      </c>
      <c r="O40" s="17" t="s">
        <v>88</v>
      </c>
      <c r="P40" s="17" t="s">
        <v>555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13</v>
      </c>
      <c r="Z40" s="17">
        <v>93.785093792015701</v>
      </c>
      <c r="AA40" s="16"/>
      <c r="AB40" s="16"/>
      <c r="AC40" s="16"/>
      <c r="AD40" s="16"/>
      <c r="AE40" s="16"/>
      <c r="AF40" s="16"/>
      <c r="AG40" s="16"/>
      <c r="AH40" s="16"/>
      <c r="AI40" s="17">
        <v>93.777911917073695</v>
      </c>
      <c r="AJ40" s="17">
        <v>93.785093792015701</v>
      </c>
      <c r="AK40" s="17">
        <v>93.785093792015701</v>
      </c>
      <c r="AL40" s="17">
        <v>93.785093792015701</v>
      </c>
      <c r="AM40" s="17">
        <v>1.62508408538997E-3</v>
      </c>
      <c r="AN40" s="17">
        <v>95.377363292034701</v>
      </c>
      <c r="AO40" s="16"/>
      <c r="AP40" s="17" t="s">
        <v>553</v>
      </c>
      <c r="AQ40" s="17" t="s">
        <v>244</v>
      </c>
      <c r="AR40" s="17" t="s">
        <v>87</v>
      </c>
      <c r="AS40" s="17" t="s">
        <v>88</v>
      </c>
      <c r="AT40" s="17" t="s">
        <v>88</v>
      </c>
      <c r="AU40" s="17" t="s">
        <v>555</v>
      </c>
      <c r="AV40" s="17" t="s">
        <v>90</v>
      </c>
      <c r="AW40" s="16"/>
      <c r="AX40" s="16"/>
      <c r="AY40" s="16"/>
      <c r="AZ40" s="16"/>
      <c r="BA40" s="17" t="s">
        <v>530</v>
      </c>
      <c r="BB40" s="17">
        <v>1</v>
      </c>
      <c r="BC40" s="17" t="s">
        <v>531</v>
      </c>
      <c r="BD40" s="17" t="s">
        <v>61</v>
      </c>
      <c r="BE40" s="16"/>
      <c r="BF40" s="17" t="s">
        <v>62</v>
      </c>
      <c r="BG40" s="17" t="s">
        <v>172</v>
      </c>
      <c r="BH40" s="17" t="s">
        <v>532</v>
      </c>
      <c r="BI40" s="16"/>
    </row>
    <row r="41" spans="1:61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17" t="s">
        <v>123</v>
      </c>
      <c r="H41" s="17" t="s">
        <v>78</v>
      </c>
      <c r="I41" s="17" t="s">
        <v>84</v>
      </c>
      <c r="J41" s="17" t="s">
        <v>78</v>
      </c>
      <c r="K41" s="17" t="s">
        <v>553</v>
      </c>
      <c r="L41" s="17" t="s">
        <v>244</v>
      </c>
      <c r="M41" s="17" t="s">
        <v>87</v>
      </c>
      <c r="N41" s="17" t="s">
        <v>88</v>
      </c>
      <c r="O41" s="17" t="s">
        <v>88</v>
      </c>
      <c r="P41" s="17" t="s">
        <v>556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5</v>
      </c>
      <c r="Z41" s="17">
        <v>95.387147542089195</v>
      </c>
      <c r="AA41" s="16"/>
      <c r="AB41" s="16"/>
      <c r="AC41" s="16"/>
      <c r="AD41" s="16"/>
      <c r="AE41" s="16"/>
      <c r="AF41" s="16"/>
      <c r="AG41" s="16"/>
      <c r="AH41" s="16"/>
      <c r="AI41" s="17">
        <v>95.379078333033306</v>
      </c>
      <c r="AJ41" s="17">
        <v>95.387147542089195</v>
      </c>
      <c r="AK41" s="17">
        <v>95.387147542089195</v>
      </c>
      <c r="AL41" s="17">
        <v>95.387147542089195</v>
      </c>
      <c r="AM41" s="17">
        <v>1.62200001068413E-3</v>
      </c>
      <c r="AN41" s="17">
        <v>97.727386832935693</v>
      </c>
      <c r="AO41" s="17" t="s">
        <v>78</v>
      </c>
      <c r="AP41" s="17" t="s">
        <v>553</v>
      </c>
      <c r="AQ41" s="17" t="s">
        <v>244</v>
      </c>
      <c r="AR41" s="17" t="s">
        <v>87</v>
      </c>
      <c r="AS41" s="17" t="s">
        <v>88</v>
      </c>
      <c r="AT41" s="17" t="s">
        <v>88</v>
      </c>
      <c r="AU41" s="17" t="s">
        <v>556</v>
      </c>
      <c r="AV41" s="17" t="s">
        <v>90</v>
      </c>
      <c r="AW41" s="16"/>
      <c r="AX41" s="16"/>
      <c r="AY41" s="16"/>
      <c r="AZ41" s="16"/>
      <c r="BA41" s="17" t="s">
        <v>530</v>
      </c>
      <c r="BB41" s="17">
        <v>1</v>
      </c>
      <c r="BC41" s="17" t="s">
        <v>531</v>
      </c>
      <c r="BD41" s="17" t="s">
        <v>61</v>
      </c>
      <c r="BE41" s="16"/>
      <c r="BF41" s="17" t="s">
        <v>62</v>
      </c>
      <c r="BG41" s="17" t="s">
        <v>172</v>
      </c>
      <c r="BH41" s="17" t="s">
        <v>532</v>
      </c>
      <c r="BI41" s="16"/>
    </row>
    <row r="42" spans="1:61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94</v>
      </c>
      <c r="H42" s="22" t="s">
        <v>95</v>
      </c>
      <c r="I42" s="22" t="s">
        <v>96</v>
      </c>
      <c r="J42" s="23"/>
      <c r="K42" s="17" t="s">
        <v>93</v>
      </c>
      <c r="L42" s="17" t="s">
        <v>93</v>
      </c>
      <c r="M42" s="17" t="s">
        <v>93</v>
      </c>
      <c r="N42" s="17" t="s">
        <v>93</v>
      </c>
      <c r="O42" s="17" t="s">
        <v>93</v>
      </c>
      <c r="P42" s="17" t="s">
        <v>93</v>
      </c>
      <c r="Q42" s="17" t="s">
        <v>93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22</v>
      </c>
      <c r="Z42" s="17">
        <v>97.738721832865906</v>
      </c>
      <c r="AA42" s="16"/>
      <c r="AB42" s="16"/>
      <c r="AC42" s="16"/>
      <c r="AD42" s="16"/>
      <c r="AE42" s="16"/>
      <c r="AF42" s="16"/>
      <c r="AG42" s="16"/>
      <c r="AH42" s="16"/>
      <c r="AI42" s="17">
        <v>97.729544041911097</v>
      </c>
      <c r="AJ42" s="17">
        <v>97.738721832865906</v>
      </c>
      <c r="AK42" s="17">
        <v>97.738721832865906</v>
      </c>
      <c r="AL42" s="17">
        <v>97.738721832865906</v>
      </c>
      <c r="AM42" s="17">
        <v>2.0622080191969902E-3</v>
      </c>
      <c r="AN42" s="17">
        <v>107.725333750015</v>
      </c>
      <c r="AO42" s="16"/>
      <c r="AP42" s="17" t="s">
        <v>93</v>
      </c>
      <c r="AQ42" s="17" t="s">
        <v>93</v>
      </c>
      <c r="AR42" s="17" t="s">
        <v>93</v>
      </c>
      <c r="AS42" s="17" t="s">
        <v>93</v>
      </c>
      <c r="AT42" s="17" t="s">
        <v>93</v>
      </c>
      <c r="AU42" s="17" t="s">
        <v>93</v>
      </c>
      <c r="AV42" s="17" t="s">
        <v>93</v>
      </c>
      <c r="AW42" s="17">
        <v>107.73437945800799</v>
      </c>
      <c r="AX42" s="17">
        <v>107.73437945800799</v>
      </c>
      <c r="AY42" s="17">
        <v>107.73437945800799</v>
      </c>
      <c r="AZ42" s="17">
        <v>9.9976681249681896</v>
      </c>
      <c r="BA42" s="17" t="s">
        <v>530</v>
      </c>
      <c r="BB42" s="17">
        <v>1</v>
      </c>
      <c r="BC42" s="17" t="s">
        <v>531</v>
      </c>
      <c r="BD42" s="17" t="s">
        <v>61</v>
      </c>
      <c r="BE42" s="16"/>
      <c r="BF42" s="17" t="s">
        <v>62</v>
      </c>
      <c r="BG42" s="17" t="s">
        <v>172</v>
      </c>
      <c r="BH42" s="17" t="s">
        <v>532</v>
      </c>
      <c r="BI42" s="16"/>
    </row>
    <row r="43" spans="1:61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22" t="s">
        <v>120</v>
      </c>
      <c r="H43" s="22" t="s">
        <v>121</v>
      </c>
      <c r="I43" s="22" t="s">
        <v>96</v>
      </c>
      <c r="J43" s="23"/>
      <c r="K43" s="17" t="s">
        <v>553</v>
      </c>
      <c r="L43" s="17" t="s">
        <v>244</v>
      </c>
      <c r="M43" s="17" t="s">
        <v>87</v>
      </c>
      <c r="N43" s="17" t="s">
        <v>88</v>
      </c>
      <c r="O43" s="17" t="s">
        <v>88</v>
      </c>
      <c r="P43" s="17" t="s">
        <v>557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24</v>
      </c>
      <c r="Z43" s="17">
        <v>107.73437945800799</v>
      </c>
      <c r="AA43" s="16"/>
      <c r="AB43" s="16"/>
      <c r="AC43" s="16"/>
      <c r="AD43" s="16"/>
      <c r="AE43" s="16"/>
      <c r="AF43" s="16"/>
      <c r="AG43" s="16"/>
      <c r="AH43" s="16"/>
      <c r="AI43" s="17">
        <v>107.727351374924</v>
      </c>
      <c r="AJ43" s="17">
        <v>107.73437945800799</v>
      </c>
      <c r="AK43" s="17">
        <v>107.73437945800799</v>
      </c>
      <c r="AL43" s="17">
        <v>107.73437945800799</v>
      </c>
      <c r="AM43" s="17">
        <v>-1.3020890764892101E-4</v>
      </c>
      <c r="AN43" s="17">
        <v>107.89430895797</v>
      </c>
      <c r="AO43" s="16"/>
      <c r="AP43" s="17" t="s">
        <v>553</v>
      </c>
      <c r="AQ43" s="17" t="s">
        <v>244</v>
      </c>
      <c r="AR43" s="17" t="s">
        <v>87</v>
      </c>
      <c r="AS43" s="17" t="s">
        <v>88</v>
      </c>
      <c r="AT43" s="17" t="s">
        <v>88</v>
      </c>
      <c r="AU43" s="17" t="s">
        <v>557</v>
      </c>
      <c r="AV43" s="17" t="s">
        <v>90</v>
      </c>
      <c r="AW43" s="16"/>
      <c r="AX43" s="16"/>
      <c r="AY43" s="16"/>
      <c r="AZ43" s="16"/>
      <c r="BA43" s="17" t="s">
        <v>530</v>
      </c>
      <c r="BB43" s="17">
        <v>1</v>
      </c>
      <c r="BC43" s="17" t="s">
        <v>531</v>
      </c>
      <c r="BD43" s="17" t="s">
        <v>61</v>
      </c>
      <c r="BE43" s="16"/>
      <c r="BF43" s="17" t="s">
        <v>62</v>
      </c>
      <c r="BG43" s="17" t="s">
        <v>172</v>
      </c>
      <c r="BH43" s="17" t="s">
        <v>532</v>
      </c>
      <c r="BI43" s="16"/>
    </row>
    <row r="44" spans="1:61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17" t="s">
        <v>100</v>
      </c>
      <c r="H44" s="17" t="s">
        <v>68</v>
      </c>
      <c r="I44" s="17" t="s">
        <v>84</v>
      </c>
      <c r="J44" s="17" t="s">
        <v>68</v>
      </c>
      <c r="K44" s="17" t="s">
        <v>553</v>
      </c>
      <c r="L44" s="17" t="s">
        <v>244</v>
      </c>
      <c r="M44" s="17" t="s">
        <v>87</v>
      </c>
      <c r="N44" s="17" t="s">
        <v>88</v>
      </c>
      <c r="O44" s="17" t="s">
        <v>88</v>
      </c>
      <c r="P44" s="17" t="s">
        <v>558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17</v>
      </c>
      <c r="Z44" s="17">
        <v>107.90375683293701</v>
      </c>
      <c r="AA44" s="16"/>
      <c r="AB44" s="16"/>
      <c r="AC44" s="16"/>
      <c r="AD44" s="16"/>
      <c r="AE44" s="16"/>
      <c r="AF44" s="16"/>
      <c r="AG44" s="16"/>
      <c r="AH44" s="16"/>
      <c r="AI44" s="17">
        <v>107.896024042042</v>
      </c>
      <c r="AJ44" s="17">
        <v>107.90375683293701</v>
      </c>
      <c r="AK44" s="17">
        <v>107.90375683293701</v>
      </c>
      <c r="AL44" s="17">
        <v>107.90375683293701</v>
      </c>
      <c r="AM44" s="17">
        <v>1.6268340405076701E-3</v>
      </c>
      <c r="AN44" s="17">
        <v>111.22831770801</v>
      </c>
      <c r="AO44" s="17" t="s">
        <v>68</v>
      </c>
      <c r="AP44" s="17" t="s">
        <v>553</v>
      </c>
      <c r="AQ44" s="17" t="s">
        <v>244</v>
      </c>
      <c r="AR44" s="17" t="s">
        <v>87</v>
      </c>
      <c r="AS44" s="17" t="s">
        <v>88</v>
      </c>
      <c r="AT44" s="17" t="s">
        <v>88</v>
      </c>
      <c r="AU44" s="17" t="s">
        <v>558</v>
      </c>
      <c r="AV44" s="17" t="s">
        <v>90</v>
      </c>
      <c r="AW44" s="16"/>
      <c r="AX44" s="16"/>
      <c r="AY44" s="16"/>
      <c r="AZ44" s="16"/>
      <c r="BA44" s="17" t="s">
        <v>530</v>
      </c>
      <c r="BB44" s="17">
        <v>1</v>
      </c>
      <c r="BC44" s="17" t="s">
        <v>531</v>
      </c>
      <c r="BD44" s="17" t="s">
        <v>61</v>
      </c>
      <c r="BE44" s="16"/>
      <c r="BF44" s="17" t="s">
        <v>62</v>
      </c>
      <c r="BG44" s="17" t="s">
        <v>172</v>
      </c>
      <c r="BH44" s="17" t="s">
        <v>532</v>
      </c>
      <c r="BI44" s="16"/>
    </row>
    <row r="45" spans="1:61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22" t="s">
        <v>157</v>
      </c>
      <c r="H45" s="22" t="s">
        <v>66</v>
      </c>
      <c r="I45" s="22" t="s">
        <v>84</v>
      </c>
      <c r="J45" s="23"/>
      <c r="K45" s="17" t="s">
        <v>233</v>
      </c>
      <c r="L45" s="17" t="s">
        <v>244</v>
      </c>
      <c r="M45" s="17" t="s">
        <v>87</v>
      </c>
      <c r="N45" s="17" t="s">
        <v>88</v>
      </c>
      <c r="O45" s="17" t="s">
        <v>88</v>
      </c>
      <c r="P45" s="17" t="s">
        <v>559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1</v>
      </c>
      <c r="Z45" s="17">
        <v>111.239397542086</v>
      </c>
      <c r="AA45" s="16"/>
      <c r="AB45" s="16"/>
      <c r="AC45" s="16"/>
      <c r="AD45" s="16"/>
      <c r="AE45" s="16"/>
      <c r="AF45" s="16"/>
      <c r="AG45" s="16"/>
      <c r="AH45" s="16"/>
      <c r="AI45" s="17">
        <v>111.230514541967</v>
      </c>
      <c r="AJ45" s="17">
        <v>111.239397542086</v>
      </c>
      <c r="AK45" s="17">
        <v>111.239397542086</v>
      </c>
      <c r="AL45" s="17">
        <v>111.239397542086</v>
      </c>
      <c r="AM45" s="17">
        <v>2.1069999784231199E-3</v>
      </c>
      <c r="AN45" s="17">
        <v>115.393216625089</v>
      </c>
      <c r="AO45" s="16"/>
      <c r="AP45" s="17" t="s">
        <v>233</v>
      </c>
      <c r="AQ45" s="17" t="s">
        <v>244</v>
      </c>
      <c r="AR45" s="17" t="s">
        <v>87</v>
      </c>
      <c r="AS45" s="17" t="s">
        <v>88</v>
      </c>
      <c r="AT45" s="17" t="s">
        <v>88</v>
      </c>
      <c r="AU45" s="17" t="s">
        <v>559</v>
      </c>
      <c r="AV45" s="17" t="s">
        <v>90</v>
      </c>
      <c r="AW45" s="16"/>
      <c r="AX45" s="16"/>
      <c r="AY45" s="16"/>
      <c r="AZ45" s="16"/>
      <c r="BA45" s="17" t="s">
        <v>530</v>
      </c>
      <c r="BB45" s="17">
        <v>1</v>
      </c>
      <c r="BC45" s="17" t="s">
        <v>531</v>
      </c>
      <c r="BD45" s="17" t="s">
        <v>61</v>
      </c>
      <c r="BE45" s="16"/>
      <c r="BF45" s="17" t="s">
        <v>62</v>
      </c>
      <c r="BG45" s="17" t="s">
        <v>172</v>
      </c>
      <c r="BH45" s="17" t="s">
        <v>532</v>
      </c>
      <c r="BI45" s="16"/>
    </row>
    <row r="46" spans="1:61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83</v>
      </c>
      <c r="H46" s="17" t="s">
        <v>82</v>
      </c>
      <c r="I46" s="17" t="s">
        <v>84</v>
      </c>
      <c r="J46" s="17" t="s">
        <v>82</v>
      </c>
      <c r="K46" s="17" t="s">
        <v>233</v>
      </c>
      <c r="L46" s="17" t="s">
        <v>244</v>
      </c>
      <c r="M46" s="17" t="s">
        <v>87</v>
      </c>
      <c r="N46" s="17" t="s">
        <v>88</v>
      </c>
      <c r="O46" s="17" t="s">
        <v>88</v>
      </c>
      <c r="P46" s="17" t="s">
        <v>560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9</v>
      </c>
      <c r="Z46" s="17">
        <v>115.402054500068</v>
      </c>
      <c r="AA46" s="16"/>
      <c r="AB46" s="16"/>
      <c r="AC46" s="16"/>
      <c r="AD46" s="16"/>
      <c r="AE46" s="16"/>
      <c r="AF46" s="16"/>
      <c r="AG46" s="16"/>
      <c r="AH46" s="16"/>
      <c r="AI46" s="17">
        <v>115.394790249877</v>
      </c>
      <c r="AJ46" s="17">
        <v>115.402054500068</v>
      </c>
      <c r="AK46" s="17">
        <v>115.402054500068</v>
      </c>
      <c r="AL46" s="17">
        <v>115.402054500068</v>
      </c>
      <c r="AM46" s="17">
        <v>1.4988328330218801E-3</v>
      </c>
      <c r="AN46" s="17">
        <v>117.44461612496499</v>
      </c>
      <c r="AO46" s="17" t="s">
        <v>82</v>
      </c>
      <c r="AP46" s="17" t="s">
        <v>233</v>
      </c>
      <c r="AQ46" s="17" t="s">
        <v>244</v>
      </c>
      <c r="AR46" s="17" t="s">
        <v>87</v>
      </c>
      <c r="AS46" s="17" t="s">
        <v>88</v>
      </c>
      <c r="AT46" s="17" t="s">
        <v>88</v>
      </c>
      <c r="AU46" s="17" t="s">
        <v>560</v>
      </c>
      <c r="AV46" s="17" t="s">
        <v>90</v>
      </c>
      <c r="AW46" s="16"/>
      <c r="AX46" s="16"/>
      <c r="AY46" s="16"/>
      <c r="AZ46" s="16"/>
      <c r="BA46" s="17" t="s">
        <v>530</v>
      </c>
      <c r="BB46" s="17">
        <v>1</v>
      </c>
      <c r="BC46" s="17" t="s">
        <v>531</v>
      </c>
      <c r="BD46" s="17" t="s">
        <v>61</v>
      </c>
      <c r="BE46" s="16"/>
      <c r="BF46" s="17" t="s">
        <v>62</v>
      </c>
      <c r="BG46" s="17" t="s">
        <v>172</v>
      </c>
      <c r="BH46" s="17" t="s">
        <v>532</v>
      </c>
      <c r="BI46" s="16"/>
    </row>
    <row r="48" spans="1:61" ht="14" x14ac:dyDescent="0.15">
      <c r="K48" s="19" t="s">
        <v>630</v>
      </c>
      <c r="L48" s="17" t="s">
        <v>650</v>
      </c>
      <c r="M48">
        <f>12/13</f>
        <v>0.92307692307692313</v>
      </c>
    </row>
    <row r="49" spans="11:13" ht="14" x14ac:dyDescent="0.15">
      <c r="K49" s="19" t="s">
        <v>631</v>
      </c>
      <c r="L49" s="17" t="s">
        <v>642</v>
      </c>
      <c r="M49">
        <f>1/2</f>
        <v>0.5</v>
      </c>
    </row>
    <row r="50" spans="11:13" x14ac:dyDescent="0.15">
      <c r="K50" s="1"/>
    </row>
    <row r="51" spans="11:13" x14ac:dyDescent="0.15">
      <c r="K51" s="19" t="s">
        <v>637</v>
      </c>
      <c r="M51">
        <f>M48-M49</f>
        <v>0.42307692307692313</v>
      </c>
    </row>
    <row r="53" spans="11:13" x14ac:dyDescent="0.15">
      <c r="K53" s="19" t="s">
        <v>658</v>
      </c>
      <c r="M53">
        <f>M51-'5'!M51</f>
        <v>0.19580419580419584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68C0-5F24-1247-9B5E-229FF1BD072C}">
  <dimension ref="A1:BD51"/>
  <sheetViews>
    <sheetView topLeftCell="B40" zoomScale="150" workbookViewId="0">
      <selection activeCell="M51" sqref="M51"/>
    </sheetView>
  </sheetViews>
  <sheetFormatPr baseColWidth="10" defaultRowHeight="13" x14ac:dyDescent="0.15"/>
  <cols>
    <col min="11" max="11" width="27.6640625" customWidth="1"/>
    <col min="13" max="13" width="11.6640625" bestFit="1" customWidth="1"/>
  </cols>
  <sheetData>
    <row r="1" spans="1:56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51</v>
      </c>
      <c r="AW1" s="15" t="s">
        <v>52</v>
      </c>
      <c r="AX1" s="15" t="s">
        <v>53</v>
      </c>
      <c r="AY1" s="15" t="s">
        <v>54</v>
      </c>
      <c r="AZ1" s="15" t="s">
        <v>55</v>
      </c>
      <c r="BA1" s="15" t="s">
        <v>56</v>
      </c>
      <c r="BB1" s="15" t="s">
        <v>57</v>
      </c>
      <c r="BC1" s="15" t="s">
        <v>58</v>
      </c>
      <c r="BD1" s="16"/>
    </row>
    <row r="2" spans="1:56" ht="56" x14ac:dyDescent="0.15">
      <c r="A2" s="15" t="s">
        <v>70</v>
      </c>
      <c r="B2" s="17">
        <v>0</v>
      </c>
      <c r="C2" s="17">
        <v>0</v>
      </c>
      <c r="D2" s="17">
        <v>0</v>
      </c>
      <c r="E2" s="17">
        <v>1.0179856115107899</v>
      </c>
      <c r="F2" s="17">
        <v>2.4060650411993301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2</v>
      </c>
      <c r="V2" s="16"/>
      <c r="W2" s="16"/>
      <c r="X2" s="16"/>
      <c r="Y2" s="16"/>
      <c r="Z2" s="17">
        <v>3.4161958843469599E-2</v>
      </c>
      <c r="AA2" s="16"/>
      <c r="AB2" s="17">
        <v>1.4997541904449499E-2</v>
      </c>
      <c r="AC2" s="17">
        <v>3.4161958843469599E-2</v>
      </c>
      <c r="AD2" s="17">
        <v>3.4161958843469599E-2</v>
      </c>
      <c r="AE2" s="17">
        <v>2.4298954999540001</v>
      </c>
      <c r="AF2" s="17">
        <v>1.0179856115107899</v>
      </c>
      <c r="AG2" s="17">
        <v>2.4060650411993301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 t="s">
        <v>561</v>
      </c>
      <c r="AW2" s="17">
        <v>1</v>
      </c>
      <c r="AX2" s="17" t="s">
        <v>562</v>
      </c>
      <c r="AY2" s="17" t="s">
        <v>61</v>
      </c>
      <c r="AZ2" s="16"/>
      <c r="BA2" s="17" t="s">
        <v>62</v>
      </c>
      <c r="BB2" s="17" t="s">
        <v>172</v>
      </c>
      <c r="BC2" s="17" t="s">
        <v>563</v>
      </c>
      <c r="BD2" s="16"/>
    </row>
    <row r="3" spans="1:56" ht="56" x14ac:dyDescent="0.15">
      <c r="A3" s="15" t="s">
        <v>66</v>
      </c>
      <c r="B3" s="17">
        <v>1</v>
      </c>
      <c r="C3" s="17">
        <v>1</v>
      </c>
      <c r="D3" s="17">
        <v>0</v>
      </c>
      <c r="E3" s="17">
        <v>1</v>
      </c>
      <c r="F3" s="17">
        <v>1.23749387497082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</v>
      </c>
      <c r="V3" s="16"/>
      <c r="W3" s="16"/>
      <c r="X3" s="16"/>
      <c r="Y3" s="16"/>
      <c r="Z3" s="17">
        <v>2.4400277498643801</v>
      </c>
      <c r="AA3" s="16"/>
      <c r="AB3" s="17">
        <v>2.4332897090353098</v>
      </c>
      <c r="AC3" s="17">
        <v>2.4400277498643801</v>
      </c>
      <c r="AD3" s="17">
        <v>2.4400277498643801</v>
      </c>
      <c r="AE3" s="17">
        <v>3.6798859168775402</v>
      </c>
      <c r="AF3" s="17">
        <v>1</v>
      </c>
      <c r="AG3" s="17">
        <v>1.23749387497082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7" t="s">
        <v>561</v>
      </c>
      <c r="AW3" s="17">
        <v>1</v>
      </c>
      <c r="AX3" s="17" t="s">
        <v>562</v>
      </c>
      <c r="AY3" s="17" t="s">
        <v>61</v>
      </c>
      <c r="AZ3" s="16"/>
      <c r="BA3" s="17" t="s">
        <v>62</v>
      </c>
      <c r="BB3" s="17" t="s">
        <v>172</v>
      </c>
      <c r="BC3" s="17" t="s">
        <v>563</v>
      </c>
      <c r="BD3" s="16"/>
    </row>
    <row r="4" spans="1:56" ht="56" x14ac:dyDescent="0.15">
      <c r="A4" s="15" t="s">
        <v>69</v>
      </c>
      <c r="B4" s="17">
        <v>2</v>
      </c>
      <c r="C4" s="17">
        <v>2</v>
      </c>
      <c r="D4" s="17">
        <v>0</v>
      </c>
      <c r="E4" s="17">
        <v>1</v>
      </c>
      <c r="F4" s="17">
        <v>0.922237500082701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8</v>
      </c>
      <c r="V4" s="16"/>
      <c r="W4" s="16"/>
      <c r="X4" s="16"/>
      <c r="Y4" s="16"/>
      <c r="Z4" s="17">
        <v>3.6884337919764199</v>
      </c>
      <c r="AA4" s="16"/>
      <c r="AB4" s="17">
        <v>3.6818825418595198</v>
      </c>
      <c r="AC4" s="17">
        <v>3.6884337919764199</v>
      </c>
      <c r="AD4" s="17">
        <v>3.6884337919764199</v>
      </c>
      <c r="AE4" s="17">
        <v>4.6131855419371304</v>
      </c>
      <c r="AF4" s="17">
        <v>1</v>
      </c>
      <c r="AG4" s="17">
        <v>0.922237500082701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7" t="s">
        <v>561</v>
      </c>
      <c r="AW4" s="17">
        <v>1</v>
      </c>
      <c r="AX4" s="17" t="s">
        <v>562</v>
      </c>
      <c r="AY4" s="17" t="s">
        <v>61</v>
      </c>
      <c r="AZ4" s="16"/>
      <c r="BA4" s="17" t="s">
        <v>62</v>
      </c>
      <c r="BB4" s="17" t="s">
        <v>172</v>
      </c>
      <c r="BC4" s="17" t="s">
        <v>563</v>
      </c>
      <c r="BD4" s="16"/>
    </row>
    <row r="5" spans="1:56" ht="56" x14ac:dyDescent="0.15">
      <c r="A5" s="15" t="s">
        <v>59</v>
      </c>
      <c r="B5" s="17">
        <v>3</v>
      </c>
      <c r="C5" s="17">
        <v>3</v>
      </c>
      <c r="D5" s="17">
        <v>0</v>
      </c>
      <c r="E5" s="17">
        <v>2.00359712230216</v>
      </c>
      <c r="F5" s="17">
        <v>2.0221611249726301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12</v>
      </c>
      <c r="V5" s="16"/>
      <c r="W5" s="16"/>
      <c r="X5" s="16"/>
      <c r="Y5" s="16"/>
      <c r="Z5" s="17">
        <v>4.6218079170212203</v>
      </c>
      <c r="AA5" s="16"/>
      <c r="AB5" s="17">
        <v>4.6152284999843696</v>
      </c>
      <c r="AC5" s="17">
        <v>4.6218079170212203</v>
      </c>
      <c r="AD5" s="17">
        <v>4.6218079170212203</v>
      </c>
      <c r="AE5" s="17">
        <v>6.6464732920285297</v>
      </c>
      <c r="AF5" s="17">
        <v>2.00359712230216</v>
      </c>
      <c r="AG5" s="17">
        <v>2.0221611249726301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7" t="s">
        <v>561</v>
      </c>
      <c r="AW5" s="17">
        <v>1</v>
      </c>
      <c r="AX5" s="17" t="s">
        <v>562</v>
      </c>
      <c r="AY5" s="17" t="s">
        <v>61</v>
      </c>
      <c r="AZ5" s="16"/>
      <c r="BA5" s="17" t="s">
        <v>62</v>
      </c>
      <c r="BB5" s="17" t="s">
        <v>172</v>
      </c>
      <c r="BC5" s="17" t="s">
        <v>563</v>
      </c>
      <c r="BD5" s="16"/>
    </row>
    <row r="6" spans="1:56" ht="56" x14ac:dyDescent="0.15">
      <c r="A6" s="15" t="s">
        <v>64</v>
      </c>
      <c r="B6" s="17">
        <v>4</v>
      </c>
      <c r="C6" s="17">
        <v>4</v>
      </c>
      <c r="D6" s="17">
        <v>0</v>
      </c>
      <c r="E6" s="17">
        <v>2.00359712230216</v>
      </c>
      <c r="F6" s="17">
        <v>0.73848524992354203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18</v>
      </c>
      <c r="V6" s="16"/>
      <c r="W6" s="16"/>
      <c r="X6" s="16"/>
      <c r="Y6" s="16"/>
      <c r="Z6" s="17">
        <v>6.6555366669781497</v>
      </c>
      <c r="AA6" s="16"/>
      <c r="AB6" s="17">
        <v>6.6490383748896402</v>
      </c>
      <c r="AC6" s="17">
        <v>6.6555366669781497</v>
      </c>
      <c r="AD6" s="17">
        <v>6.6555366669781497</v>
      </c>
      <c r="AE6" s="17">
        <v>7.39650329202414</v>
      </c>
      <c r="AF6" s="17">
        <v>2.00359712230216</v>
      </c>
      <c r="AG6" s="17">
        <v>0.73848524992354203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7" t="s">
        <v>561</v>
      </c>
      <c r="AW6" s="17">
        <v>1</v>
      </c>
      <c r="AX6" s="17" t="s">
        <v>562</v>
      </c>
      <c r="AY6" s="17" t="s">
        <v>61</v>
      </c>
      <c r="AZ6" s="16"/>
      <c r="BA6" s="17" t="s">
        <v>62</v>
      </c>
      <c r="BB6" s="17" t="s">
        <v>172</v>
      </c>
      <c r="BC6" s="17" t="s">
        <v>563</v>
      </c>
      <c r="BD6" s="16"/>
    </row>
    <row r="7" spans="1:56" ht="56" x14ac:dyDescent="0.15">
      <c r="A7" s="15" t="s">
        <v>76</v>
      </c>
      <c r="B7" s="17">
        <v>5</v>
      </c>
      <c r="C7" s="17">
        <v>5</v>
      </c>
      <c r="D7" s="17">
        <v>0</v>
      </c>
      <c r="E7" s="17">
        <v>1</v>
      </c>
      <c r="F7" s="17">
        <v>1.2550882499199401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6</v>
      </c>
      <c r="V7" s="16"/>
      <c r="W7" s="16"/>
      <c r="X7" s="16"/>
      <c r="Y7" s="16"/>
      <c r="Z7" s="17">
        <v>7.4056749588344299</v>
      </c>
      <c r="AA7" s="16"/>
      <c r="AB7" s="17">
        <v>7.3990555419586599</v>
      </c>
      <c r="AC7" s="17">
        <v>7.4056749588344299</v>
      </c>
      <c r="AD7" s="17">
        <v>7.4056749588344299</v>
      </c>
      <c r="AE7" s="17">
        <v>8.6631665839813703</v>
      </c>
      <c r="AF7" s="17">
        <v>1</v>
      </c>
      <c r="AG7" s="17">
        <v>1.2550882499199401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7" t="s">
        <v>561</v>
      </c>
      <c r="AW7" s="17">
        <v>1</v>
      </c>
      <c r="AX7" s="17" t="s">
        <v>562</v>
      </c>
      <c r="AY7" s="17" t="s">
        <v>61</v>
      </c>
      <c r="AZ7" s="16"/>
      <c r="BA7" s="17" t="s">
        <v>62</v>
      </c>
      <c r="BB7" s="17" t="s">
        <v>172</v>
      </c>
      <c r="BC7" s="17" t="s">
        <v>563</v>
      </c>
      <c r="BD7" s="16"/>
    </row>
    <row r="8" spans="1:56" ht="56" x14ac:dyDescent="0.15">
      <c r="A8" s="15" t="s">
        <v>80</v>
      </c>
      <c r="B8" s="17">
        <v>6</v>
      </c>
      <c r="C8" s="17">
        <v>6</v>
      </c>
      <c r="D8" s="17">
        <v>0</v>
      </c>
      <c r="E8" s="17">
        <v>1.9892086330935299</v>
      </c>
      <c r="F8" s="17">
        <v>1.18904024991207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15</v>
      </c>
      <c r="V8" s="16"/>
      <c r="W8" s="16"/>
      <c r="X8" s="16"/>
      <c r="Y8" s="16"/>
      <c r="Z8" s="17">
        <v>8.6716825000476092</v>
      </c>
      <c r="AA8" s="16"/>
      <c r="AB8" s="17">
        <v>8.6650319588370603</v>
      </c>
      <c r="AC8" s="17">
        <v>8.6716825000476092</v>
      </c>
      <c r="AD8" s="17">
        <v>8.6716825000476092</v>
      </c>
      <c r="AE8" s="17">
        <v>9.8631505840457994</v>
      </c>
      <c r="AF8" s="17">
        <v>1.9892086330935299</v>
      </c>
      <c r="AG8" s="17">
        <v>1.18904024991207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7" t="s">
        <v>561</v>
      </c>
      <c r="AW8" s="17">
        <v>1</v>
      </c>
      <c r="AX8" s="17" t="s">
        <v>562</v>
      </c>
      <c r="AY8" s="17" t="s">
        <v>61</v>
      </c>
      <c r="AZ8" s="16"/>
      <c r="BA8" s="17" t="s">
        <v>62</v>
      </c>
      <c r="BB8" s="17" t="s">
        <v>172</v>
      </c>
      <c r="BC8" s="17" t="s">
        <v>563</v>
      </c>
      <c r="BD8" s="16"/>
    </row>
    <row r="9" spans="1:56" ht="56" x14ac:dyDescent="0.15">
      <c r="A9" s="15" t="s">
        <v>68</v>
      </c>
      <c r="B9" s="17">
        <v>7</v>
      </c>
      <c r="C9" s="17">
        <v>7</v>
      </c>
      <c r="D9" s="17">
        <v>0</v>
      </c>
      <c r="E9" s="17">
        <v>2.0143884892086299</v>
      </c>
      <c r="F9" s="17">
        <v>2.1390913750510698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17</v>
      </c>
      <c r="V9" s="16"/>
      <c r="W9" s="16"/>
      <c r="X9" s="16"/>
      <c r="Y9" s="16"/>
      <c r="Z9" s="17">
        <v>9.8712953748181498</v>
      </c>
      <c r="AA9" s="16"/>
      <c r="AB9" s="17">
        <v>9.8648908748291397</v>
      </c>
      <c r="AC9" s="17">
        <v>9.8712953748181498</v>
      </c>
      <c r="AD9" s="17">
        <v>9.8712953748181498</v>
      </c>
      <c r="AE9" s="17">
        <v>12.013204499846299</v>
      </c>
      <c r="AF9" s="17">
        <v>2.0143884892086299</v>
      </c>
      <c r="AG9" s="17">
        <v>2.1390913750510698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7" t="s">
        <v>561</v>
      </c>
      <c r="AW9" s="17">
        <v>1</v>
      </c>
      <c r="AX9" s="17" t="s">
        <v>562</v>
      </c>
      <c r="AY9" s="17" t="s">
        <v>61</v>
      </c>
      <c r="AZ9" s="16"/>
      <c r="BA9" s="17" t="s">
        <v>62</v>
      </c>
      <c r="BB9" s="17" t="s">
        <v>172</v>
      </c>
      <c r="BC9" s="17" t="s">
        <v>563</v>
      </c>
      <c r="BD9" s="16"/>
    </row>
    <row r="10" spans="1:56" ht="56" x14ac:dyDescent="0.15">
      <c r="A10" s="15" t="s">
        <v>75</v>
      </c>
      <c r="B10" s="17">
        <v>8</v>
      </c>
      <c r="C10" s="17">
        <v>8</v>
      </c>
      <c r="D10" s="17">
        <v>0</v>
      </c>
      <c r="E10" s="17">
        <v>2.0143884892086299</v>
      </c>
      <c r="F10" s="17">
        <v>0.83910495904274296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7</v>
      </c>
      <c r="V10" s="16"/>
      <c r="W10" s="16"/>
      <c r="X10" s="16"/>
      <c r="Y10" s="16"/>
      <c r="Z10" s="17">
        <v>12.021478374954301</v>
      </c>
      <c r="AA10" s="16"/>
      <c r="AB10" s="17">
        <v>12.0150347088929</v>
      </c>
      <c r="AC10" s="17">
        <v>12.021478374954301</v>
      </c>
      <c r="AD10" s="17">
        <v>12.021478374954301</v>
      </c>
      <c r="AE10" s="17">
        <v>12.86316037504</v>
      </c>
      <c r="AF10" s="17">
        <v>2.0143884892086299</v>
      </c>
      <c r="AG10" s="17">
        <v>0.83910495904274296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7" t="s">
        <v>561</v>
      </c>
      <c r="AW10" s="17">
        <v>1</v>
      </c>
      <c r="AX10" s="17" t="s">
        <v>562</v>
      </c>
      <c r="AY10" s="17" t="s">
        <v>61</v>
      </c>
      <c r="AZ10" s="16"/>
      <c r="BA10" s="17" t="s">
        <v>62</v>
      </c>
      <c r="BB10" s="17" t="s">
        <v>172</v>
      </c>
      <c r="BC10" s="17" t="s">
        <v>563</v>
      </c>
      <c r="BD10" s="16"/>
    </row>
    <row r="11" spans="1:56" ht="56" x14ac:dyDescent="0.15">
      <c r="A11" s="15" t="s">
        <v>78</v>
      </c>
      <c r="B11" s="17">
        <v>9</v>
      </c>
      <c r="C11" s="17">
        <v>9</v>
      </c>
      <c r="D11" s="17">
        <v>0</v>
      </c>
      <c r="E11" s="17">
        <v>1</v>
      </c>
      <c r="F11" s="17">
        <v>1.45545529201627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5</v>
      </c>
      <c r="V11" s="16"/>
      <c r="W11" s="16"/>
      <c r="X11" s="16"/>
      <c r="Y11" s="16"/>
      <c r="Z11" s="17">
        <v>12.8718191250227</v>
      </c>
      <c r="AA11" s="16"/>
      <c r="AB11" s="17">
        <v>12.865180749911801</v>
      </c>
      <c r="AC11" s="17">
        <v>12.8718191250227</v>
      </c>
      <c r="AD11" s="17">
        <v>12.8718191250227</v>
      </c>
      <c r="AE11" s="17">
        <v>14.3298344588839</v>
      </c>
      <c r="AF11" s="17">
        <v>1</v>
      </c>
      <c r="AG11" s="17">
        <v>1.45545529201627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7" t="s">
        <v>561</v>
      </c>
      <c r="AW11" s="17">
        <v>1</v>
      </c>
      <c r="AX11" s="17" t="s">
        <v>562</v>
      </c>
      <c r="AY11" s="17" t="s">
        <v>61</v>
      </c>
      <c r="AZ11" s="16"/>
      <c r="BA11" s="17" t="s">
        <v>62</v>
      </c>
      <c r="BB11" s="17" t="s">
        <v>172</v>
      </c>
      <c r="BC11" s="17" t="s">
        <v>563</v>
      </c>
      <c r="BD11" s="16"/>
    </row>
    <row r="12" spans="1:56" ht="56" x14ac:dyDescent="0.15">
      <c r="A12" s="15" t="s">
        <v>74</v>
      </c>
      <c r="B12" s="17">
        <v>10</v>
      </c>
      <c r="C12" s="17">
        <v>10</v>
      </c>
      <c r="D12" s="17">
        <v>0</v>
      </c>
      <c r="E12" s="17">
        <v>1.9928057553956799</v>
      </c>
      <c r="F12" s="17">
        <v>1.2215028330683699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13</v>
      </c>
      <c r="V12" s="16"/>
      <c r="W12" s="16"/>
      <c r="X12" s="16"/>
      <c r="Y12" s="16"/>
      <c r="Z12" s="17">
        <v>14.338840625015999</v>
      </c>
      <c r="AA12" s="16"/>
      <c r="AB12" s="17">
        <v>14.3323320420459</v>
      </c>
      <c r="AC12" s="17">
        <v>14.338840625015999</v>
      </c>
      <c r="AD12" s="17">
        <v>14.338840625015999</v>
      </c>
      <c r="AE12" s="17">
        <v>15.5631896669511</v>
      </c>
      <c r="AF12" s="17">
        <v>1.9928057553956799</v>
      </c>
      <c r="AG12" s="17">
        <v>1.2215028330683699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7" t="s">
        <v>561</v>
      </c>
      <c r="AW12" s="17">
        <v>1</v>
      </c>
      <c r="AX12" s="17" t="s">
        <v>562</v>
      </c>
      <c r="AY12" s="17" t="s">
        <v>61</v>
      </c>
      <c r="AZ12" s="16"/>
      <c r="BA12" s="17" t="s">
        <v>62</v>
      </c>
      <c r="BB12" s="17" t="s">
        <v>172</v>
      </c>
      <c r="BC12" s="17" t="s">
        <v>563</v>
      </c>
      <c r="BD12" s="16"/>
    </row>
    <row r="13" spans="1:56" ht="56" x14ac:dyDescent="0.15">
      <c r="A13" s="15" t="s">
        <v>77</v>
      </c>
      <c r="B13" s="17">
        <v>11</v>
      </c>
      <c r="C13" s="17">
        <v>11</v>
      </c>
      <c r="D13" s="17">
        <v>0</v>
      </c>
      <c r="E13" s="17">
        <v>1.9928057553956799</v>
      </c>
      <c r="F13" s="17">
        <v>0.88869379204697896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10</v>
      </c>
      <c r="V13" s="16"/>
      <c r="W13" s="16"/>
      <c r="X13" s="16"/>
      <c r="Y13" s="16"/>
      <c r="Z13" s="17">
        <v>15.57224970893</v>
      </c>
      <c r="AA13" s="16"/>
      <c r="AB13" s="17">
        <v>15.565779374912401</v>
      </c>
      <c r="AC13" s="17">
        <v>15.57224970893</v>
      </c>
      <c r="AD13" s="17">
        <v>15.57224970893</v>
      </c>
      <c r="AE13" s="17">
        <v>16.463133416837099</v>
      </c>
      <c r="AF13" s="17">
        <v>1.9928057553956799</v>
      </c>
      <c r="AG13" s="17">
        <v>0.88869379204697896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7" t="s">
        <v>561</v>
      </c>
      <c r="AW13" s="17">
        <v>1</v>
      </c>
      <c r="AX13" s="17" t="s">
        <v>562</v>
      </c>
      <c r="AY13" s="17" t="s">
        <v>61</v>
      </c>
      <c r="AZ13" s="16"/>
      <c r="BA13" s="17" t="s">
        <v>62</v>
      </c>
      <c r="BB13" s="17" t="s">
        <v>172</v>
      </c>
      <c r="BC13" s="17" t="s">
        <v>563</v>
      </c>
      <c r="BD13" s="16"/>
    </row>
    <row r="14" spans="1:56" ht="56" x14ac:dyDescent="0.15">
      <c r="A14" s="15" t="s">
        <v>71</v>
      </c>
      <c r="B14" s="17">
        <v>12</v>
      </c>
      <c r="C14" s="17">
        <v>12</v>
      </c>
      <c r="D14" s="17">
        <v>0</v>
      </c>
      <c r="E14" s="17">
        <v>1.9928057553956799</v>
      </c>
      <c r="F14" s="17">
        <v>0.95560637512244295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19</v>
      </c>
      <c r="V14" s="16"/>
      <c r="W14" s="16"/>
      <c r="X14" s="16"/>
      <c r="Y14" s="16"/>
      <c r="Z14" s="17">
        <v>16.471764833899201</v>
      </c>
      <c r="AA14" s="16"/>
      <c r="AB14" s="17">
        <v>16.465135749895101</v>
      </c>
      <c r="AC14" s="17">
        <v>16.471764833899201</v>
      </c>
      <c r="AD14" s="17">
        <v>16.471764833899201</v>
      </c>
      <c r="AE14" s="17">
        <v>17.429789291927602</v>
      </c>
      <c r="AF14" s="17">
        <v>1.9928057553956799</v>
      </c>
      <c r="AG14" s="17">
        <v>0.95560637512244295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7" t="s">
        <v>561</v>
      </c>
      <c r="AW14" s="17">
        <v>1</v>
      </c>
      <c r="AX14" s="17" t="s">
        <v>562</v>
      </c>
      <c r="AY14" s="17" t="s">
        <v>61</v>
      </c>
      <c r="AZ14" s="16"/>
      <c r="BA14" s="17" t="s">
        <v>62</v>
      </c>
      <c r="BB14" s="17" t="s">
        <v>172</v>
      </c>
      <c r="BC14" s="17" t="s">
        <v>563</v>
      </c>
      <c r="BD14" s="16"/>
    </row>
    <row r="15" spans="1:56" ht="56" x14ac:dyDescent="0.15">
      <c r="A15" s="15" t="s">
        <v>79</v>
      </c>
      <c r="B15" s="17">
        <v>13</v>
      </c>
      <c r="C15" s="17">
        <v>13</v>
      </c>
      <c r="D15" s="17">
        <v>0</v>
      </c>
      <c r="E15" s="17">
        <v>1</v>
      </c>
      <c r="F15" s="17">
        <v>1.2888738331384999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3</v>
      </c>
      <c r="V15" s="16"/>
      <c r="W15" s="16"/>
      <c r="X15" s="16"/>
      <c r="Y15" s="16"/>
      <c r="Z15" s="17">
        <v>17.4381038749125</v>
      </c>
      <c r="AA15" s="16"/>
      <c r="AB15" s="17">
        <v>17.431586374994399</v>
      </c>
      <c r="AC15" s="17">
        <v>17.4381038749125</v>
      </c>
      <c r="AD15" s="17">
        <v>17.4381038749125</v>
      </c>
      <c r="AE15" s="17">
        <v>18.729806083953001</v>
      </c>
      <c r="AF15" s="17">
        <v>1</v>
      </c>
      <c r="AG15" s="17">
        <v>1.2888738331384999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7" t="s">
        <v>561</v>
      </c>
      <c r="AW15" s="17">
        <v>1</v>
      </c>
      <c r="AX15" s="17" t="s">
        <v>562</v>
      </c>
      <c r="AY15" s="17" t="s">
        <v>61</v>
      </c>
      <c r="AZ15" s="16"/>
      <c r="BA15" s="17" t="s">
        <v>62</v>
      </c>
      <c r="BB15" s="17" t="s">
        <v>172</v>
      </c>
      <c r="BC15" s="17" t="s">
        <v>563</v>
      </c>
      <c r="BD15" s="16"/>
    </row>
    <row r="16" spans="1:56" ht="56" x14ac:dyDescent="0.15">
      <c r="A16" s="15" t="s">
        <v>81</v>
      </c>
      <c r="B16" s="17">
        <v>14</v>
      </c>
      <c r="C16" s="17">
        <v>14</v>
      </c>
      <c r="D16" s="17">
        <v>0</v>
      </c>
      <c r="E16" s="17">
        <v>1</v>
      </c>
      <c r="F16" s="17">
        <v>2.2226743751671201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4</v>
      </c>
      <c r="V16" s="16"/>
      <c r="W16" s="16"/>
      <c r="X16" s="16"/>
      <c r="Y16" s="16"/>
      <c r="Z16" s="17">
        <v>18.7381077089813</v>
      </c>
      <c r="AA16" s="16"/>
      <c r="AB16" s="17">
        <v>18.731542958877998</v>
      </c>
      <c r="AC16" s="17">
        <v>18.7381077089813</v>
      </c>
      <c r="AD16" s="17">
        <v>18.7381077089813</v>
      </c>
      <c r="AE16" s="17">
        <v>20.963091333862401</v>
      </c>
      <c r="AF16" s="17">
        <v>1</v>
      </c>
      <c r="AG16" s="17">
        <v>2.2226743751671201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7" t="s">
        <v>561</v>
      </c>
      <c r="AW16" s="17">
        <v>1</v>
      </c>
      <c r="AX16" s="17" t="s">
        <v>562</v>
      </c>
      <c r="AY16" s="17" t="s">
        <v>61</v>
      </c>
      <c r="AZ16" s="16"/>
      <c r="BA16" s="17" t="s">
        <v>62</v>
      </c>
      <c r="BB16" s="17" t="s">
        <v>172</v>
      </c>
      <c r="BC16" s="17" t="s">
        <v>563</v>
      </c>
      <c r="BD16" s="16"/>
    </row>
    <row r="17" spans="1:56" ht="56" x14ac:dyDescent="0.15">
      <c r="A17" s="15" t="s">
        <v>65</v>
      </c>
      <c r="B17" s="17">
        <v>15</v>
      </c>
      <c r="C17" s="17">
        <v>15</v>
      </c>
      <c r="D17" s="17">
        <v>0</v>
      </c>
      <c r="E17" s="17">
        <v>1.9532374100719401</v>
      </c>
      <c r="F17" s="17">
        <v>1.30579587491229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11</v>
      </c>
      <c r="V17" s="16"/>
      <c r="W17" s="16"/>
      <c r="X17" s="16"/>
      <c r="Y17" s="16"/>
      <c r="Z17" s="17">
        <v>20.971435375045999</v>
      </c>
      <c r="AA17" s="16"/>
      <c r="AB17" s="17">
        <v>20.964962583966599</v>
      </c>
      <c r="AC17" s="17">
        <v>20.971435375045999</v>
      </c>
      <c r="AD17" s="17">
        <v>20.971435375045999</v>
      </c>
      <c r="AE17" s="17">
        <v>22.279796958900999</v>
      </c>
      <c r="AF17" s="17">
        <v>1.9532374100719401</v>
      </c>
      <c r="AG17" s="17">
        <v>1.30579587491229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7" t="s">
        <v>561</v>
      </c>
      <c r="AW17" s="17">
        <v>1</v>
      </c>
      <c r="AX17" s="17" t="s">
        <v>562</v>
      </c>
      <c r="AY17" s="17" t="s">
        <v>61</v>
      </c>
      <c r="AZ17" s="16"/>
      <c r="BA17" s="17" t="s">
        <v>62</v>
      </c>
      <c r="BB17" s="17" t="s">
        <v>172</v>
      </c>
      <c r="BC17" s="17" t="s">
        <v>563</v>
      </c>
      <c r="BD17" s="16"/>
    </row>
    <row r="18" spans="1:56" ht="56" x14ac:dyDescent="0.15">
      <c r="A18" s="15" t="s">
        <v>73</v>
      </c>
      <c r="B18" s="17">
        <v>16</v>
      </c>
      <c r="C18" s="17">
        <v>16</v>
      </c>
      <c r="D18" s="17">
        <v>0</v>
      </c>
      <c r="E18" s="17">
        <v>1.88848920863309</v>
      </c>
      <c r="F18" s="17">
        <v>1.68899495806545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14</v>
      </c>
      <c r="V18" s="16"/>
      <c r="W18" s="16"/>
      <c r="X18" s="16"/>
      <c r="Y18" s="16"/>
      <c r="Z18" s="17">
        <v>22.2883487499785</v>
      </c>
      <c r="AA18" s="16"/>
      <c r="AB18" s="17">
        <v>22.281740417005501</v>
      </c>
      <c r="AC18" s="17">
        <v>22.2883487499785</v>
      </c>
      <c r="AD18" s="17">
        <v>22.2883487499785</v>
      </c>
      <c r="AE18" s="17">
        <v>23.979191291844501</v>
      </c>
      <c r="AF18" s="17">
        <v>1.88848920863309</v>
      </c>
      <c r="AG18" s="17">
        <v>1.68899495806545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7" t="s">
        <v>561</v>
      </c>
      <c r="AW18" s="17">
        <v>1</v>
      </c>
      <c r="AX18" s="17" t="s">
        <v>562</v>
      </c>
      <c r="AY18" s="17" t="s">
        <v>61</v>
      </c>
      <c r="AZ18" s="16"/>
      <c r="BA18" s="17" t="s">
        <v>62</v>
      </c>
      <c r="BB18" s="17" t="s">
        <v>172</v>
      </c>
      <c r="BC18" s="17" t="s">
        <v>563</v>
      </c>
      <c r="BD18" s="16"/>
    </row>
    <row r="19" spans="1:56" ht="56" x14ac:dyDescent="0.15">
      <c r="A19" s="15" t="s">
        <v>82</v>
      </c>
      <c r="B19" s="17">
        <v>17</v>
      </c>
      <c r="C19" s="17">
        <v>17</v>
      </c>
      <c r="D19" s="17">
        <v>0</v>
      </c>
      <c r="E19" s="17">
        <v>1</v>
      </c>
      <c r="F19" s="17">
        <v>1.1891437079757501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9</v>
      </c>
      <c r="V19" s="16"/>
      <c r="W19" s="16"/>
      <c r="X19" s="16"/>
      <c r="Y19" s="16"/>
      <c r="Z19" s="17">
        <v>23.9874860418495</v>
      </c>
      <c r="AA19" s="16"/>
      <c r="AB19" s="17">
        <v>23.9810379589908</v>
      </c>
      <c r="AC19" s="17">
        <v>23.9874860418495</v>
      </c>
      <c r="AD19" s="17">
        <v>23.9874860418495</v>
      </c>
      <c r="AE19" s="17">
        <v>25.1791953339707</v>
      </c>
      <c r="AF19" s="17">
        <v>1</v>
      </c>
      <c r="AG19" s="17">
        <v>1.1891437079757501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7" t="s">
        <v>561</v>
      </c>
      <c r="AW19" s="17">
        <v>1</v>
      </c>
      <c r="AX19" s="17" t="s">
        <v>562</v>
      </c>
      <c r="AY19" s="17" t="s">
        <v>61</v>
      </c>
      <c r="AZ19" s="16"/>
      <c r="BA19" s="17" t="s">
        <v>62</v>
      </c>
      <c r="BB19" s="17" t="s">
        <v>172</v>
      </c>
      <c r="BC19" s="17" t="s">
        <v>563</v>
      </c>
      <c r="BD19" s="16"/>
    </row>
    <row r="20" spans="1:56" ht="56" x14ac:dyDescent="0.15">
      <c r="A20" s="15" t="s">
        <v>67</v>
      </c>
      <c r="B20" s="17">
        <v>18</v>
      </c>
      <c r="C20" s="17">
        <v>18</v>
      </c>
      <c r="D20" s="17">
        <v>0</v>
      </c>
      <c r="E20" s="17">
        <v>1.9640287769784199</v>
      </c>
      <c r="F20" s="17">
        <v>1.05643524997868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16</v>
      </c>
      <c r="V20" s="16"/>
      <c r="W20" s="16"/>
      <c r="X20" s="16"/>
      <c r="Y20" s="16"/>
      <c r="Z20" s="17">
        <v>25.187443333910799</v>
      </c>
      <c r="AA20" s="16"/>
      <c r="AB20" s="17">
        <v>25.180989458924198</v>
      </c>
      <c r="AC20" s="17">
        <v>25.187443333910799</v>
      </c>
      <c r="AD20" s="17">
        <v>25.187443333910799</v>
      </c>
      <c r="AE20" s="17">
        <v>26.246447708923402</v>
      </c>
      <c r="AF20" s="17">
        <v>1.9640287769784199</v>
      </c>
      <c r="AG20" s="17">
        <v>1.05643524997868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7" t="s">
        <v>561</v>
      </c>
      <c r="AW20" s="17">
        <v>1</v>
      </c>
      <c r="AX20" s="17" t="s">
        <v>562</v>
      </c>
      <c r="AY20" s="17" t="s">
        <v>61</v>
      </c>
      <c r="AZ20" s="16"/>
      <c r="BA20" s="17" t="s">
        <v>62</v>
      </c>
      <c r="BB20" s="17" t="s">
        <v>172</v>
      </c>
      <c r="BC20" s="17" t="s">
        <v>563</v>
      </c>
      <c r="BD20" s="16"/>
    </row>
    <row r="21" spans="1:56" ht="56" x14ac:dyDescent="0.15">
      <c r="A21" s="15" t="s">
        <v>72</v>
      </c>
      <c r="B21" s="17">
        <v>19</v>
      </c>
      <c r="C21" s="17">
        <v>19</v>
      </c>
      <c r="D21" s="17">
        <v>0</v>
      </c>
      <c r="E21" s="17">
        <v>1.05035971223022</v>
      </c>
      <c r="F21" s="17">
        <v>1.0224979999475201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0</v>
      </c>
      <c r="V21" s="16"/>
      <c r="W21" s="16"/>
      <c r="X21" s="16"/>
      <c r="Y21" s="16"/>
      <c r="Z21" s="17">
        <v>26.254459958989202</v>
      </c>
      <c r="AA21" s="16"/>
      <c r="AB21" s="17">
        <v>26.247974166879398</v>
      </c>
      <c r="AC21" s="17">
        <v>26.254459958989202</v>
      </c>
      <c r="AD21" s="17">
        <v>26.254459958989202</v>
      </c>
      <c r="AE21" s="17">
        <v>27.279761208919801</v>
      </c>
      <c r="AF21" s="17">
        <v>1.05035971223022</v>
      </c>
      <c r="AG21" s="17">
        <v>1.0224979999475201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 t="s">
        <v>561</v>
      </c>
      <c r="AW21" s="17">
        <v>1</v>
      </c>
      <c r="AX21" s="17" t="s">
        <v>562</v>
      </c>
      <c r="AY21" s="17" t="s">
        <v>61</v>
      </c>
      <c r="AZ21" s="16"/>
      <c r="BA21" s="17" t="s">
        <v>62</v>
      </c>
      <c r="BB21" s="17" t="s">
        <v>172</v>
      </c>
      <c r="BC21" s="17" t="s">
        <v>563</v>
      </c>
      <c r="BD21" s="16"/>
    </row>
    <row r="22" spans="1:56" ht="98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17" t="s">
        <v>106</v>
      </c>
      <c r="H22" s="17" t="s">
        <v>107</v>
      </c>
      <c r="I22" s="17" t="s">
        <v>96</v>
      </c>
      <c r="J22" s="17" t="s">
        <v>107</v>
      </c>
      <c r="K22" s="17" t="s">
        <v>564</v>
      </c>
      <c r="L22" s="17" t="s">
        <v>565</v>
      </c>
      <c r="M22" s="17" t="s">
        <v>110</v>
      </c>
      <c r="N22" s="17" t="s">
        <v>111</v>
      </c>
      <c r="O22" s="17" t="s">
        <v>111</v>
      </c>
      <c r="P22" s="17" t="s">
        <v>566</v>
      </c>
      <c r="Q22" s="17" t="s">
        <v>113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23</v>
      </c>
      <c r="Z22" s="17">
        <v>27.296504958998401</v>
      </c>
      <c r="AA22" s="16"/>
      <c r="AB22" s="16"/>
      <c r="AC22" s="16"/>
      <c r="AD22" s="16"/>
      <c r="AE22" s="16"/>
      <c r="AF22" s="16"/>
      <c r="AG22" s="16"/>
      <c r="AH22" s="17">
        <v>27.288589000003402</v>
      </c>
      <c r="AI22" s="17">
        <v>27.296504958998401</v>
      </c>
      <c r="AJ22" s="17">
        <v>27.296504958998401</v>
      </c>
      <c r="AK22" s="17">
        <v>27.296504958998401</v>
      </c>
      <c r="AL22" s="17">
        <v>8.8270839769393206E-3</v>
      </c>
      <c r="AM22" s="17">
        <v>32.837929541943602</v>
      </c>
      <c r="AN22" s="17" t="s">
        <v>107</v>
      </c>
      <c r="AO22" s="17" t="s">
        <v>564</v>
      </c>
      <c r="AP22" s="17" t="s">
        <v>565</v>
      </c>
      <c r="AQ22" s="17" t="s">
        <v>110</v>
      </c>
      <c r="AR22" s="17" t="s">
        <v>111</v>
      </c>
      <c r="AS22" s="17" t="s">
        <v>111</v>
      </c>
      <c r="AT22" s="17" t="s">
        <v>566</v>
      </c>
      <c r="AU22" s="17" t="s">
        <v>113</v>
      </c>
      <c r="AV22" s="17" t="s">
        <v>561</v>
      </c>
      <c r="AW22" s="17">
        <v>1</v>
      </c>
      <c r="AX22" s="17" t="s">
        <v>562</v>
      </c>
      <c r="AY22" s="17" t="s">
        <v>61</v>
      </c>
      <c r="AZ22" s="16"/>
      <c r="BA22" s="17" t="s">
        <v>62</v>
      </c>
      <c r="BB22" s="17" t="s">
        <v>172</v>
      </c>
      <c r="BC22" s="17" t="s">
        <v>563</v>
      </c>
      <c r="BD22" s="16"/>
    </row>
    <row r="23" spans="1:56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17" t="s">
        <v>114</v>
      </c>
      <c r="H23" s="17" t="s">
        <v>73</v>
      </c>
      <c r="I23" s="17" t="s">
        <v>84</v>
      </c>
      <c r="J23" s="17" t="s">
        <v>73</v>
      </c>
      <c r="K23" s="17" t="s">
        <v>567</v>
      </c>
      <c r="L23" s="17" t="s">
        <v>150</v>
      </c>
      <c r="M23" s="17" t="s">
        <v>87</v>
      </c>
      <c r="N23" s="17" t="s">
        <v>88</v>
      </c>
      <c r="O23" s="17" t="s">
        <v>88</v>
      </c>
      <c r="P23" s="17" t="s">
        <v>568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14</v>
      </c>
      <c r="Z23" s="17">
        <v>32.849440083838999</v>
      </c>
      <c r="AA23" s="16"/>
      <c r="AB23" s="16"/>
      <c r="AC23" s="16"/>
      <c r="AD23" s="16"/>
      <c r="AE23" s="16"/>
      <c r="AF23" s="16"/>
      <c r="AG23" s="16"/>
      <c r="AH23" s="17">
        <v>32.839971124893097</v>
      </c>
      <c r="AI23" s="17">
        <v>32.849440083838999</v>
      </c>
      <c r="AJ23" s="17">
        <v>32.849440083838999</v>
      </c>
      <c r="AK23" s="17">
        <v>32.849440083838999</v>
      </c>
      <c r="AL23" s="17">
        <v>1.8752920441329501E-3</v>
      </c>
      <c r="AM23" s="17">
        <v>39.170851625036498</v>
      </c>
      <c r="AN23" s="17" t="s">
        <v>73</v>
      </c>
      <c r="AO23" s="17" t="s">
        <v>567</v>
      </c>
      <c r="AP23" s="17" t="s">
        <v>150</v>
      </c>
      <c r="AQ23" s="17" t="s">
        <v>87</v>
      </c>
      <c r="AR23" s="17" t="s">
        <v>88</v>
      </c>
      <c r="AS23" s="17" t="s">
        <v>88</v>
      </c>
      <c r="AT23" s="17" t="s">
        <v>568</v>
      </c>
      <c r="AU23" s="17" t="s">
        <v>90</v>
      </c>
      <c r="AV23" s="17" t="s">
        <v>561</v>
      </c>
      <c r="AW23" s="17">
        <v>1</v>
      </c>
      <c r="AX23" s="17" t="s">
        <v>562</v>
      </c>
      <c r="AY23" s="17" t="s">
        <v>61</v>
      </c>
      <c r="AZ23" s="16"/>
      <c r="BA23" s="17" t="s">
        <v>62</v>
      </c>
      <c r="BB23" s="17" t="s">
        <v>172</v>
      </c>
      <c r="BC23" s="17" t="s">
        <v>563</v>
      </c>
      <c r="BD23" s="16"/>
    </row>
    <row r="24" spans="1:56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22" t="s">
        <v>148</v>
      </c>
      <c r="H24" s="22" t="s">
        <v>74</v>
      </c>
      <c r="I24" s="22" t="s">
        <v>84</v>
      </c>
      <c r="J24" s="23"/>
      <c r="K24" s="17" t="s">
        <v>567</v>
      </c>
      <c r="L24" s="17" t="s">
        <v>150</v>
      </c>
      <c r="M24" s="17" t="s">
        <v>87</v>
      </c>
      <c r="N24" s="17" t="s">
        <v>88</v>
      </c>
      <c r="O24" s="17" t="s">
        <v>88</v>
      </c>
      <c r="P24" s="17" t="s">
        <v>569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13</v>
      </c>
      <c r="Z24" s="17">
        <v>39.183174249948898</v>
      </c>
      <c r="AA24" s="16"/>
      <c r="AB24" s="16"/>
      <c r="AC24" s="16"/>
      <c r="AD24" s="16"/>
      <c r="AE24" s="16"/>
      <c r="AF24" s="16"/>
      <c r="AG24" s="16"/>
      <c r="AH24" s="17">
        <v>39.173377000028303</v>
      </c>
      <c r="AI24" s="17">
        <v>39.183174249948898</v>
      </c>
      <c r="AJ24" s="17">
        <v>39.183174249948898</v>
      </c>
      <c r="AK24" s="17">
        <v>39.183174249948898</v>
      </c>
      <c r="AL24" s="17">
        <v>2.4112090468406699E-3</v>
      </c>
      <c r="AM24" s="17">
        <v>40.670643499819597</v>
      </c>
      <c r="AN24" s="16"/>
      <c r="AO24" s="17" t="s">
        <v>567</v>
      </c>
      <c r="AP24" s="17" t="s">
        <v>150</v>
      </c>
      <c r="AQ24" s="17" t="s">
        <v>87</v>
      </c>
      <c r="AR24" s="17" t="s">
        <v>88</v>
      </c>
      <c r="AS24" s="17" t="s">
        <v>88</v>
      </c>
      <c r="AT24" s="17" t="s">
        <v>569</v>
      </c>
      <c r="AU24" s="17" t="s">
        <v>90</v>
      </c>
      <c r="AV24" s="17" t="s">
        <v>561</v>
      </c>
      <c r="AW24" s="17">
        <v>1</v>
      </c>
      <c r="AX24" s="17" t="s">
        <v>562</v>
      </c>
      <c r="AY24" s="17" t="s">
        <v>61</v>
      </c>
      <c r="AZ24" s="16"/>
      <c r="BA24" s="17" t="s">
        <v>62</v>
      </c>
      <c r="BB24" s="17" t="s">
        <v>172</v>
      </c>
      <c r="BC24" s="17" t="s">
        <v>563</v>
      </c>
      <c r="BD24" s="16"/>
    </row>
    <row r="25" spans="1:56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22" t="s">
        <v>138</v>
      </c>
      <c r="H25" s="22" t="s">
        <v>139</v>
      </c>
      <c r="I25" s="22" t="s">
        <v>96</v>
      </c>
      <c r="J25" s="22" t="s">
        <v>201</v>
      </c>
      <c r="K25" s="17" t="s">
        <v>567</v>
      </c>
      <c r="L25" s="17" t="s">
        <v>150</v>
      </c>
      <c r="M25" s="17" t="s">
        <v>87</v>
      </c>
      <c r="N25" s="17" t="s">
        <v>88</v>
      </c>
      <c r="O25" s="17" t="s">
        <v>88</v>
      </c>
      <c r="P25" s="17" t="s">
        <v>570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21</v>
      </c>
      <c r="Z25" s="17">
        <v>40.680156375048703</v>
      </c>
      <c r="AA25" s="16"/>
      <c r="AB25" s="16"/>
      <c r="AC25" s="16"/>
      <c r="AD25" s="16"/>
      <c r="AE25" s="16"/>
      <c r="AF25" s="16"/>
      <c r="AG25" s="16"/>
      <c r="AH25" s="17">
        <v>40.672432666877299</v>
      </c>
      <c r="AI25" s="17">
        <v>40.680156375048703</v>
      </c>
      <c r="AJ25" s="17">
        <v>40.680156375048703</v>
      </c>
      <c r="AK25" s="17">
        <v>40.680156375048703</v>
      </c>
      <c r="AL25" s="17">
        <v>1.70637504197657E-3</v>
      </c>
      <c r="AM25" s="17">
        <v>44.455132500035702</v>
      </c>
      <c r="AN25" s="17" t="s">
        <v>201</v>
      </c>
      <c r="AO25" s="17" t="s">
        <v>567</v>
      </c>
      <c r="AP25" s="17" t="s">
        <v>150</v>
      </c>
      <c r="AQ25" s="17" t="s">
        <v>87</v>
      </c>
      <c r="AR25" s="17" t="s">
        <v>88</v>
      </c>
      <c r="AS25" s="17" t="s">
        <v>88</v>
      </c>
      <c r="AT25" s="17" t="s">
        <v>570</v>
      </c>
      <c r="AU25" s="17" t="s">
        <v>90</v>
      </c>
      <c r="AV25" s="17" t="s">
        <v>561</v>
      </c>
      <c r="AW25" s="17">
        <v>1</v>
      </c>
      <c r="AX25" s="17" t="s">
        <v>562</v>
      </c>
      <c r="AY25" s="17" t="s">
        <v>61</v>
      </c>
      <c r="AZ25" s="16"/>
      <c r="BA25" s="17" t="s">
        <v>62</v>
      </c>
      <c r="BB25" s="17" t="s">
        <v>172</v>
      </c>
      <c r="BC25" s="17" t="s">
        <v>563</v>
      </c>
      <c r="BD25" s="16"/>
    </row>
    <row r="26" spans="1:56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120</v>
      </c>
      <c r="H26" s="17" t="s">
        <v>121</v>
      </c>
      <c r="I26" s="17" t="s">
        <v>96</v>
      </c>
      <c r="J26" s="17" t="s">
        <v>121</v>
      </c>
      <c r="K26" s="17" t="s">
        <v>567</v>
      </c>
      <c r="L26" s="17" t="s">
        <v>150</v>
      </c>
      <c r="M26" s="17" t="s">
        <v>87</v>
      </c>
      <c r="N26" s="17" t="s">
        <v>88</v>
      </c>
      <c r="O26" s="17" t="s">
        <v>88</v>
      </c>
      <c r="P26" s="17" t="s">
        <v>571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24</v>
      </c>
      <c r="Z26" s="17">
        <v>44.466745167039299</v>
      </c>
      <c r="AA26" s="16"/>
      <c r="AB26" s="16"/>
      <c r="AC26" s="16"/>
      <c r="AD26" s="16"/>
      <c r="AE26" s="16"/>
      <c r="AF26" s="16"/>
      <c r="AG26" s="16"/>
      <c r="AH26" s="17">
        <v>44.457182833924897</v>
      </c>
      <c r="AI26" s="17">
        <v>44.466745167039299</v>
      </c>
      <c r="AJ26" s="17">
        <v>44.466745167039299</v>
      </c>
      <c r="AK26" s="17">
        <v>44.466745167039299</v>
      </c>
      <c r="AL26" s="17">
        <v>1.9589171279221799E-3</v>
      </c>
      <c r="AM26" s="17">
        <v>50.121422666823499</v>
      </c>
      <c r="AN26" s="17" t="s">
        <v>121</v>
      </c>
      <c r="AO26" s="17" t="s">
        <v>567</v>
      </c>
      <c r="AP26" s="17" t="s">
        <v>150</v>
      </c>
      <c r="AQ26" s="17" t="s">
        <v>87</v>
      </c>
      <c r="AR26" s="17" t="s">
        <v>88</v>
      </c>
      <c r="AS26" s="17" t="s">
        <v>88</v>
      </c>
      <c r="AT26" s="17" t="s">
        <v>571</v>
      </c>
      <c r="AU26" s="17" t="s">
        <v>90</v>
      </c>
      <c r="AV26" s="17" t="s">
        <v>561</v>
      </c>
      <c r="AW26" s="17">
        <v>1</v>
      </c>
      <c r="AX26" s="17" t="s">
        <v>562</v>
      </c>
      <c r="AY26" s="17" t="s">
        <v>61</v>
      </c>
      <c r="AZ26" s="16"/>
      <c r="BA26" s="17" t="s">
        <v>62</v>
      </c>
      <c r="BB26" s="17" t="s">
        <v>172</v>
      </c>
      <c r="BC26" s="17" t="s">
        <v>563</v>
      </c>
      <c r="BD26" s="16"/>
    </row>
    <row r="27" spans="1:56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136</v>
      </c>
      <c r="H27" s="17" t="s">
        <v>69</v>
      </c>
      <c r="I27" s="17" t="s">
        <v>84</v>
      </c>
      <c r="J27" s="17" t="s">
        <v>69</v>
      </c>
      <c r="K27" s="17" t="s">
        <v>567</v>
      </c>
      <c r="L27" s="17" t="s">
        <v>150</v>
      </c>
      <c r="M27" s="17" t="s">
        <v>87</v>
      </c>
      <c r="N27" s="17" t="s">
        <v>88</v>
      </c>
      <c r="O27" s="17" t="s">
        <v>88</v>
      </c>
      <c r="P27" s="17" t="s">
        <v>572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8</v>
      </c>
      <c r="Z27" s="17">
        <v>50.132740875007599</v>
      </c>
      <c r="AA27" s="16"/>
      <c r="AB27" s="16"/>
      <c r="AC27" s="16"/>
      <c r="AD27" s="16"/>
      <c r="AE27" s="16"/>
      <c r="AF27" s="16"/>
      <c r="AG27" s="16"/>
      <c r="AH27" s="17">
        <v>50.123630541842402</v>
      </c>
      <c r="AI27" s="17">
        <v>50.132740875007599</v>
      </c>
      <c r="AJ27" s="17">
        <v>50.132740875007599</v>
      </c>
      <c r="AK27" s="17">
        <v>50.132740875007599</v>
      </c>
      <c r="AL27" s="17">
        <v>2.1134589333087202E-3</v>
      </c>
      <c r="AM27" s="17">
        <v>54.438638999825301</v>
      </c>
      <c r="AN27" s="17" t="s">
        <v>69</v>
      </c>
      <c r="AO27" s="17" t="s">
        <v>567</v>
      </c>
      <c r="AP27" s="17" t="s">
        <v>150</v>
      </c>
      <c r="AQ27" s="17" t="s">
        <v>87</v>
      </c>
      <c r="AR27" s="17" t="s">
        <v>88</v>
      </c>
      <c r="AS27" s="17" t="s">
        <v>88</v>
      </c>
      <c r="AT27" s="17" t="s">
        <v>572</v>
      </c>
      <c r="AU27" s="17" t="s">
        <v>90</v>
      </c>
      <c r="AV27" s="17" t="s">
        <v>561</v>
      </c>
      <c r="AW27" s="17">
        <v>1</v>
      </c>
      <c r="AX27" s="17" t="s">
        <v>562</v>
      </c>
      <c r="AY27" s="17" t="s">
        <v>61</v>
      </c>
      <c r="AZ27" s="16"/>
      <c r="BA27" s="17" t="s">
        <v>62</v>
      </c>
      <c r="BB27" s="17" t="s">
        <v>172</v>
      </c>
      <c r="BC27" s="17" t="s">
        <v>563</v>
      </c>
      <c r="BD27" s="16"/>
    </row>
    <row r="28" spans="1:56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17" t="s">
        <v>104</v>
      </c>
      <c r="H28" s="17" t="s">
        <v>70</v>
      </c>
      <c r="I28" s="17" t="s">
        <v>84</v>
      </c>
      <c r="J28" s="17" t="s">
        <v>70</v>
      </c>
      <c r="K28" s="17" t="s">
        <v>567</v>
      </c>
      <c r="L28" s="17" t="s">
        <v>150</v>
      </c>
      <c r="M28" s="17" t="s">
        <v>87</v>
      </c>
      <c r="N28" s="17" t="s">
        <v>88</v>
      </c>
      <c r="O28" s="17" t="s">
        <v>88</v>
      </c>
      <c r="P28" s="17" t="s">
        <v>573</v>
      </c>
      <c r="Q28" s="17" t="s">
        <v>90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2</v>
      </c>
      <c r="Z28" s="17">
        <v>54.450348041951699</v>
      </c>
      <c r="AA28" s="16"/>
      <c r="AB28" s="16"/>
      <c r="AC28" s="16"/>
      <c r="AD28" s="16"/>
      <c r="AE28" s="16"/>
      <c r="AF28" s="16"/>
      <c r="AG28" s="16"/>
      <c r="AH28" s="17">
        <v>54.441054958850103</v>
      </c>
      <c r="AI28" s="17">
        <v>54.450348041951699</v>
      </c>
      <c r="AJ28" s="17">
        <v>54.450348041951699</v>
      </c>
      <c r="AK28" s="17">
        <v>54.450348041951699</v>
      </c>
      <c r="AL28" s="17">
        <v>2.3212078958749801E-3</v>
      </c>
      <c r="AM28" s="17">
        <v>56.854714791988997</v>
      </c>
      <c r="AN28" s="17" t="s">
        <v>70</v>
      </c>
      <c r="AO28" s="17" t="s">
        <v>567</v>
      </c>
      <c r="AP28" s="17" t="s">
        <v>150</v>
      </c>
      <c r="AQ28" s="17" t="s">
        <v>87</v>
      </c>
      <c r="AR28" s="17" t="s">
        <v>88</v>
      </c>
      <c r="AS28" s="17" t="s">
        <v>88</v>
      </c>
      <c r="AT28" s="17" t="s">
        <v>573</v>
      </c>
      <c r="AU28" s="17" t="s">
        <v>90</v>
      </c>
      <c r="AV28" s="17" t="s">
        <v>561</v>
      </c>
      <c r="AW28" s="17">
        <v>1</v>
      </c>
      <c r="AX28" s="17" t="s">
        <v>562</v>
      </c>
      <c r="AY28" s="17" t="s">
        <v>61</v>
      </c>
      <c r="AZ28" s="16"/>
      <c r="BA28" s="17" t="s">
        <v>62</v>
      </c>
      <c r="BB28" s="17" t="s">
        <v>172</v>
      </c>
      <c r="BC28" s="17" t="s">
        <v>563</v>
      </c>
      <c r="BD28" s="16"/>
    </row>
    <row r="29" spans="1:56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160</v>
      </c>
      <c r="H29" s="22" t="s">
        <v>79</v>
      </c>
      <c r="I29" s="22" t="s">
        <v>84</v>
      </c>
      <c r="J29" s="23"/>
      <c r="K29" s="17" t="s">
        <v>574</v>
      </c>
      <c r="L29" s="17" t="s">
        <v>575</v>
      </c>
      <c r="M29" s="17" t="s">
        <v>87</v>
      </c>
      <c r="N29" s="17" t="s">
        <v>88</v>
      </c>
      <c r="O29" s="17" t="s">
        <v>88</v>
      </c>
      <c r="P29" s="17" t="s">
        <v>576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3</v>
      </c>
      <c r="Z29" s="17">
        <v>56.866349374875398</v>
      </c>
      <c r="AA29" s="16"/>
      <c r="AB29" s="16"/>
      <c r="AC29" s="16"/>
      <c r="AD29" s="16"/>
      <c r="AE29" s="16"/>
      <c r="AF29" s="16"/>
      <c r="AG29" s="16"/>
      <c r="AH29" s="17">
        <v>56.856755709042801</v>
      </c>
      <c r="AI29" s="17">
        <v>56.866349374875398</v>
      </c>
      <c r="AJ29" s="17">
        <v>56.866349374875398</v>
      </c>
      <c r="AK29" s="17">
        <v>56.866349374875398</v>
      </c>
      <c r="AL29" s="17">
        <v>1.9492499995976699E-3</v>
      </c>
      <c r="AM29" s="17">
        <v>57.988040708936801</v>
      </c>
      <c r="AN29" s="16"/>
      <c r="AO29" s="17" t="s">
        <v>574</v>
      </c>
      <c r="AP29" s="17" t="s">
        <v>575</v>
      </c>
      <c r="AQ29" s="17" t="s">
        <v>87</v>
      </c>
      <c r="AR29" s="17" t="s">
        <v>88</v>
      </c>
      <c r="AS29" s="17" t="s">
        <v>88</v>
      </c>
      <c r="AT29" s="17" t="s">
        <v>576</v>
      </c>
      <c r="AU29" s="17" t="s">
        <v>90</v>
      </c>
      <c r="AV29" s="17" t="s">
        <v>561</v>
      </c>
      <c r="AW29" s="17">
        <v>1</v>
      </c>
      <c r="AX29" s="17" t="s">
        <v>562</v>
      </c>
      <c r="AY29" s="17" t="s">
        <v>61</v>
      </c>
      <c r="AZ29" s="16"/>
      <c r="BA29" s="17" t="s">
        <v>62</v>
      </c>
      <c r="BB29" s="17" t="s">
        <v>172</v>
      </c>
      <c r="BC29" s="17" t="s">
        <v>563</v>
      </c>
      <c r="BD29" s="16"/>
    </row>
    <row r="30" spans="1:56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22" t="s">
        <v>94</v>
      </c>
      <c r="H30" s="22" t="s">
        <v>95</v>
      </c>
      <c r="I30" s="22" t="s">
        <v>96</v>
      </c>
      <c r="J30" s="23"/>
      <c r="K30" s="17" t="s">
        <v>574</v>
      </c>
      <c r="L30" s="17" t="s">
        <v>575</v>
      </c>
      <c r="M30" s="17" t="s">
        <v>87</v>
      </c>
      <c r="N30" s="17" t="s">
        <v>88</v>
      </c>
      <c r="O30" s="17" t="s">
        <v>88</v>
      </c>
      <c r="P30" s="17" t="s">
        <v>577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22</v>
      </c>
      <c r="Z30" s="17">
        <v>57.997933499980697</v>
      </c>
      <c r="AA30" s="16"/>
      <c r="AB30" s="16"/>
      <c r="AC30" s="16"/>
      <c r="AD30" s="16"/>
      <c r="AE30" s="16"/>
      <c r="AF30" s="16"/>
      <c r="AG30" s="16"/>
      <c r="AH30" s="17">
        <v>57.989564166869997</v>
      </c>
      <c r="AI30" s="17">
        <v>57.997933499980697</v>
      </c>
      <c r="AJ30" s="17">
        <v>57.997933499980697</v>
      </c>
      <c r="AK30" s="17">
        <v>57.997933499980697</v>
      </c>
      <c r="AL30" s="17">
        <v>1.4334169682115299E-3</v>
      </c>
      <c r="AM30" s="17">
        <v>60.271588458912497</v>
      </c>
      <c r="AN30" s="16"/>
      <c r="AO30" s="17" t="s">
        <v>574</v>
      </c>
      <c r="AP30" s="17" t="s">
        <v>575</v>
      </c>
      <c r="AQ30" s="17" t="s">
        <v>87</v>
      </c>
      <c r="AR30" s="17" t="s">
        <v>88</v>
      </c>
      <c r="AS30" s="17" t="s">
        <v>88</v>
      </c>
      <c r="AT30" s="17" t="s">
        <v>577</v>
      </c>
      <c r="AU30" s="17" t="s">
        <v>90</v>
      </c>
      <c r="AV30" s="17" t="s">
        <v>561</v>
      </c>
      <c r="AW30" s="17">
        <v>1</v>
      </c>
      <c r="AX30" s="17" t="s">
        <v>562</v>
      </c>
      <c r="AY30" s="17" t="s">
        <v>61</v>
      </c>
      <c r="AZ30" s="16"/>
      <c r="BA30" s="17" t="s">
        <v>62</v>
      </c>
      <c r="BB30" s="17" t="s">
        <v>172</v>
      </c>
      <c r="BC30" s="17" t="s">
        <v>563</v>
      </c>
      <c r="BD30" s="16"/>
    </row>
    <row r="31" spans="1:56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133</v>
      </c>
      <c r="H31" s="17" t="s">
        <v>64</v>
      </c>
      <c r="I31" s="17" t="s">
        <v>84</v>
      </c>
      <c r="J31" s="17" t="s">
        <v>64</v>
      </c>
      <c r="K31" s="17" t="s">
        <v>574</v>
      </c>
      <c r="L31" s="17" t="s">
        <v>575</v>
      </c>
      <c r="M31" s="17" t="s">
        <v>87</v>
      </c>
      <c r="N31" s="17" t="s">
        <v>88</v>
      </c>
      <c r="O31" s="17" t="s">
        <v>88</v>
      </c>
      <c r="P31" s="17" t="s">
        <v>578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18</v>
      </c>
      <c r="Z31" s="17">
        <v>60.281811208929902</v>
      </c>
      <c r="AA31" s="16"/>
      <c r="AB31" s="16"/>
      <c r="AC31" s="16"/>
      <c r="AD31" s="16"/>
      <c r="AE31" s="16"/>
      <c r="AF31" s="16"/>
      <c r="AG31" s="16"/>
      <c r="AH31" s="17">
        <v>60.273715374991298</v>
      </c>
      <c r="AI31" s="17">
        <v>60.281811208929902</v>
      </c>
      <c r="AJ31" s="17">
        <v>60.281811208929902</v>
      </c>
      <c r="AK31" s="17">
        <v>60.281811208929902</v>
      </c>
      <c r="AL31" s="17">
        <v>2.0185420289635702E-3</v>
      </c>
      <c r="AM31" s="17">
        <v>63.171636583982</v>
      </c>
      <c r="AN31" s="17" t="s">
        <v>64</v>
      </c>
      <c r="AO31" s="17" t="s">
        <v>574</v>
      </c>
      <c r="AP31" s="17" t="s">
        <v>575</v>
      </c>
      <c r="AQ31" s="17" t="s">
        <v>87</v>
      </c>
      <c r="AR31" s="17" t="s">
        <v>88</v>
      </c>
      <c r="AS31" s="17" t="s">
        <v>88</v>
      </c>
      <c r="AT31" s="17" t="s">
        <v>578</v>
      </c>
      <c r="AU31" s="17" t="s">
        <v>90</v>
      </c>
      <c r="AV31" s="17" t="s">
        <v>561</v>
      </c>
      <c r="AW31" s="17">
        <v>1</v>
      </c>
      <c r="AX31" s="17" t="s">
        <v>562</v>
      </c>
      <c r="AY31" s="17" t="s">
        <v>61</v>
      </c>
      <c r="AZ31" s="16"/>
      <c r="BA31" s="17" t="s">
        <v>62</v>
      </c>
      <c r="BB31" s="17" t="s">
        <v>172</v>
      </c>
      <c r="BC31" s="17" t="s">
        <v>563</v>
      </c>
      <c r="BD31" s="16"/>
    </row>
    <row r="32" spans="1:56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123</v>
      </c>
      <c r="H32" s="17" t="s">
        <v>78</v>
      </c>
      <c r="I32" s="17" t="s">
        <v>84</v>
      </c>
      <c r="J32" s="17" t="s">
        <v>78</v>
      </c>
      <c r="K32" s="17" t="s">
        <v>574</v>
      </c>
      <c r="L32" s="17" t="s">
        <v>575</v>
      </c>
      <c r="M32" s="17" t="s">
        <v>87</v>
      </c>
      <c r="N32" s="17" t="s">
        <v>88</v>
      </c>
      <c r="O32" s="17" t="s">
        <v>88</v>
      </c>
      <c r="P32" s="17" t="s">
        <v>579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5</v>
      </c>
      <c r="Z32" s="17">
        <v>63.182943708961801</v>
      </c>
      <c r="AA32" s="16"/>
      <c r="AB32" s="16"/>
      <c r="AC32" s="16"/>
      <c r="AD32" s="16"/>
      <c r="AE32" s="16"/>
      <c r="AF32" s="16"/>
      <c r="AG32" s="16"/>
      <c r="AH32" s="17">
        <v>63.173593208892299</v>
      </c>
      <c r="AI32" s="17">
        <v>63.182943708961801</v>
      </c>
      <c r="AJ32" s="17">
        <v>63.182943708961801</v>
      </c>
      <c r="AK32" s="17">
        <v>63.182943708961801</v>
      </c>
      <c r="AL32" s="17">
        <v>1.8608330283314E-3</v>
      </c>
      <c r="AM32" s="17">
        <v>65.587530500022694</v>
      </c>
      <c r="AN32" s="17" t="s">
        <v>78</v>
      </c>
      <c r="AO32" s="17" t="s">
        <v>574</v>
      </c>
      <c r="AP32" s="17" t="s">
        <v>575</v>
      </c>
      <c r="AQ32" s="17" t="s">
        <v>87</v>
      </c>
      <c r="AR32" s="17" t="s">
        <v>88</v>
      </c>
      <c r="AS32" s="17" t="s">
        <v>88</v>
      </c>
      <c r="AT32" s="17" t="s">
        <v>579</v>
      </c>
      <c r="AU32" s="17" t="s">
        <v>90</v>
      </c>
      <c r="AV32" s="17" t="s">
        <v>561</v>
      </c>
      <c r="AW32" s="17">
        <v>1</v>
      </c>
      <c r="AX32" s="17" t="s">
        <v>562</v>
      </c>
      <c r="AY32" s="17" t="s">
        <v>61</v>
      </c>
      <c r="AZ32" s="16"/>
      <c r="BA32" s="17" t="s">
        <v>62</v>
      </c>
      <c r="BB32" s="17" t="s">
        <v>172</v>
      </c>
      <c r="BC32" s="17" t="s">
        <v>563</v>
      </c>
      <c r="BD32" s="16"/>
    </row>
    <row r="33" spans="1:56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22" t="s">
        <v>91</v>
      </c>
      <c r="H33" s="22" t="s">
        <v>71</v>
      </c>
      <c r="I33" s="22" t="s">
        <v>84</v>
      </c>
      <c r="J33" s="23"/>
      <c r="K33" s="17" t="s">
        <v>580</v>
      </c>
      <c r="L33" s="17" t="s">
        <v>320</v>
      </c>
      <c r="M33" s="17" t="s">
        <v>87</v>
      </c>
      <c r="N33" s="17" t="s">
        <v>88</v>
      </c>
      <c r="O33" s="17" t="s">
        <v>88</v>
      </c>
      <c r="P33" s="17" t="s">
        <v>581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19</v>
      </c>
      <c r="Z33" s="17">
        <v>65.6000052499585</v>
      </c>
      <c r="AA33" s="16"/>
      <c r="AB33" s="16"/>
      <c r="AC33" s="16"/>
      <c r="AD33" s="16"/>
      <c r="AE33" s="16"/>
      <c r="AF33" s="16"/>
      <c r="AG33" s="16"/>
      <c r="AH33" s="17">
        <v>65.589875499950693</v>
      </c>
      <c r="AI33" s="17">
        <v>65.6000052499585</v>
      </c>
      <c r="AJ33" s="17">
        <v>65.6000052499585</v>
      </c>
      <c r="AK33" s="17">
        <v>65.6000052499585</v>
      </c>
      <c r="AL33" s="17">
        <v>2.2508329711854501E-3</v>
      </c>
      <c r="AM33" s="17">
        <v>69.555317708989605</v>
      </c>
      <c r="AN33" s="16"/>
      <c r="AO33" s="17" t="s">
        <v>580</v>
      </c>
      <c r="AP33" s="17" t="s">
        <v>320</v>
      </c>
      <c r="AQ33" s="17" t="s">
        <v>87</v>
      </c>
      <c r="AR33" s="17" t="s">
        <v>88</v>
      </c>
      <c r="AS33" s="17" t="s">
        <v>88</v>
      </c>
      <c r="AT33" s="17" t="s">
        <v>581</v>
      </c>
      <c r="AU33" s="17" t="s">
        <v>90</v>
      </c>
      <c r="AV33" s="17" t="s">
        <v>561</v>
      </c>
      <c r="AW33" s="17">
        <v>1</v>
      </c>
      <c r="AX33" s="17" t="s">
        <v>562</v>
      </c>
      <c r="AY33" s="17" t="s">
        <v>61</v>
      </c>
      <c r="AZ33" s="16"/>
      <c r="BA33" s="17" t="s">
        <v>62</v>
      </c>
      <c r="BB33" s="17" t="s">
        <v>172</v>
      </c>
      <c r="BC33" s="17" t="s">
        <v>563</v>
      </c>
      <c r="BD33" s="16"/>
    </row>
    <row r="34" spans="1:56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142</v>
      </c>
      <c r="H34" s="17" t="s">
        <v>67</v>
      </c>
      <c r="I34" s="17" t="s">
        <v>84</v>
      </c>
      <c r="J34" s="17" t="s">
        <v>67</v>
      </c>
      <c r="K34" s="17" t="s">
        <v>580</v>
      </c>
      <c r="L34" s="17" t="s">
        <v>320</v>
      </c>
      <c r="M34" s="17" t="s">
        <v>87</v>
      </c>
      <c r="N34" s="17" t="s">
        <v>88</v>
      </c>
      <c r="O34" s="17" t="s">
        <v>88</v>
      </c>
      <c r="P34" s="17" t="s">
        <v>582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16</v>
      </c>
      <c r="Z34" s="17">
        <v>69.565148124936997</v>
      </c>
      <c r="AA34" s="16"/>
      <c r="AB34" s="16"/>
      <c r="AC34" s="16"/>
      <c r="AD34" s="16"/>
      <c r="AE34" s="16"/>
      <c r="AF34" s="16"/>
      <c r="AG34" s="16"/>
      <c r="AH34" s="17">
        <v>69.557153541827603</v>
      </c>
      <c r="AI34" s="17">
        <v>69.565148124936997</v>
      </c>
      <c r="AJ34" s="17">
        <v>69.565148124936997</v>
      </c>
      <c r="AK34" s="17">
        <v>69.565148124936997</v>
      </c>
      <c r="AL34" s="17">
        <v>1.74866616725922E-3</v>
      </c>
      <c r="AM34" s="17">
        <v>73.871831666911007</v>
      </c>
      <c r="AN34" s="17" t="s">
        <v>67</v>
      </c>
      <c r="AO34" s="17" t="s">
        <v>580</v>
      </c>
      <c r="AP34" s="17" t="s">
        <v>320</v>
      </c>
      <c r="AQ34" s="17" t="s">
        <v>87</v>
      </c>
      <c r="AR34" s="17" t="s">
        <v>88</v>
      </c>
      <c r="AS34" s="17" t="s">
        <v>88</v>
      </c>
      <c r="AT34" s="17" t="s">
        <v>582</v>
      </c>
      <c r="AU34" s="17" t="s">
        <v>90</v>
      </c>
      <c r="AV34" s="17" t="s">
        <v>561</v>
      </c>
      <c r="AW34" s="17">
        <v>1</v>
      </c>
      <c r="AX34" s="17" t="s">
        <v>562</v>
      </c>
      <c r="AY34" s="17" t="s">
        <v>61</v>
      </c>
      <c r="AZ34" s="16"/>
      <c r="BA34" s="17" t="s">
        <v>62</v>
      </c>
      <c r="BB34" s="17" t="s">
        <v>172</v>
      </c>
      <c r="BC34" s="17" t="s">
        <v>563</v>
      </c>
      <c r="BD34" s="16"/>
    </row>
    <row r="35" spans="1:56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22" t="s">
        <v>83</v>
      </c>
      <c r="H35" s="22" t="s">
        <v>82</v>
      </c>
      <c r="I35" s="22" t="s">
        <v>84</v>
      </c>
      <c r="J35" s="23"/>
      <c r="K35" s="17" t="s">
        <v>580</v>
      </c>
      <c r="L35" s="17" t="s">
        <v>320</v>
      </c>
      <c r="M35" s="17" t="s">
        <v>87</v>
      </c>
      <c r="N35" s="17" t="s">
        <v>88</v>
      </c>
      <c r="O35" s="17" t="s">
        <v>88</v>
      </c>
      <c r="P35" s="17" t="s">
        <v>583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9</v>
      </c>
      <c r="Z35" s="17">
        <v>73.883353124838294</v>
      </c>
      <c r="AA35" s="16"/>
      <c r="AB35" s="16"/>
      <c r="AC35" s="16"/>
      <c r="AD35" s="16"/>
      <c r="AE35" s="16"/>
      <c r="AF35" s="16"/>
      <c r="AG35" s="16"/>
      <c r="AH35" s="17">
        <v>73.873833166900994</v>
      </c>
      <c r="AI35" s="17">
        <v>73.883353124838294</v>
      </c>
      <c r="AJ35" s="17">
        <v>73.883353124838294</v>
      </c>
      <c r="AK35" s="17">
        <v>73.883353124838294</v>
      </c>
      <c r="AL35" s="17">
        <v>1.90795888192952E-3</v>
      </c>
      <c r="AM35" s="17">
        <v>74.903709833975896</v>
      </c>
      <c r="AN35" s="16"/>
      <c r="AO35" s="17" t="s">
        <v>580</v>
      </c>
      <c r="AP35" s="17" t="s">
        <v>320</v>
      </c>
      <c r="AQ35" s="17" t="s">
        <v>87</v>
      </c>
      <c r="AR35" s="17" t="s">
        <v>88</v>
      </c>
      <c r="AS35" s="17" t="s">
        <v>88</v>
      </c>
      <c r="AT35" s="17" t="s">
        <v>583</v>
      </c>
      <c r="AU35" s="17" t="s">
        <v>90</v>
      </c>
      <c r="AV35" s="17" t="s">
        <v>561</v>
      </c>
      <c r="AW35" s="17">
        <v>1</v>
      </c>
      <c r="AX35" s="17" t="s">
        <v>562</v>
      </c>
      <c r="AY35" s="17" t="s">
        <v>61</v>
      </c>
      <c r="AZ35" s="16"/>
      <c r="BA35" s="17" t="s">
        <v>62</v>
      </c>
      <c r="BB35" s="17" t="s">
        <v>172</v>
      </c>
      <c r="BC35" s="17" t="s">
        <v>563</v>
      </c>
      <c r="BD35" s="16"/>
    </row>
    <row r="36" spans="1:56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22" t="s">
        <v>157</v>
      </c>
      <c r="H36" s="22" t="s">
        <v>66</v>
      </c>
      <c r="I36" s="22" t="s">
        <v>84</v>
      </c>
      <c r="J36" s="23"/>
      <c r="K36" s="17" t="s">
        <v>580</v>
      </c>
      <c r="L36" s="17" t="s">
        <v>320</v>
      </c>
      <c r="M36" s="17" t="s">
        <v>87</v>
      </c>
      <c r="N36" s="17" t="s">
        <v>88</v>
      </c>
      <c r="O36" s="17" t="s">
        <v>88</v>
      </c>
      <c r="P36" s="17" t="s">
        <v>584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1</v>
      </c>
      <c r="Z36" s="17">
        <v>74.912798916921005</v>
      </c>
      <c r="AA36" s="16"/>
      <c r="AB36" s="16"/>
      <c r="AC36" s="16"/>
      <c r="AD36" s="16"/>
      <c r="AE36" s="16"/>
      <c r="AF36" s="16"/>
      <c r="AG36" s="16"/>
      <c r="AH36" s="17">
        <v>74.905362874968006</v>
      </c>
      <c r="AI36" s="17">
        <v>74.912798916921005</v>
      </c>
      <c r="AJ36" s="17">
        <v>74.912798916921005</v>
      </c>
      <c r="AK36" s="17">
        <v>74.912798916921005</v>
      </c>
      <c r="AL36" s="17">
        <v>1.56808295287192E-3</v>
      </c>
      <c r="AM36" s="17">
        <v>76.821073666913406</v>
      </c>
      <c r="AN36" s="16"/>
      <c r="AO36" s="17" t="s">
        <v>580</v>
      </c>
      <c r="AP36" s="17" t="s">
        <v>320</v>
      </c>
      <c r="AQ36" s="17" t="s">
        <v>87</v>
      </c>
      <c r="AR36" s="17" t="s">
        <v>88</v>
      </c>
      <c r="AS36" s="17" t="s">
        <v>88</v>
      </c>
      <c r="AT36" s="17" t="s">
        <v>584</v>
      </c>
      <c r="AU36" s="17" t="s">
        <v>90</v>
      </c>
      <c r="AV36" s="17" t="s">
        <v>561</v>
      </c>
      <c r="AW36" s="17">
        <v>1</v>
      </c>
      <c r="AX36" s="17" t="s">
        <v>562</v>
      </c>
      <c r="AY36" s="17" t="s">
        <v>61</v>
      </c>
      <c r="AZ36" s="16"/>
      <c r="BA36" s="17" t="s">
        <v>62</v>
      </c>
      <c r="BB36" s="17" t="s">
        <v>172</v>
      </c>
      <c r="BC36" s="17" t="s">
        <v>563</v>
      </c>
      <c r="BD36" s="16"/>
    </row>
    <row r="37" spans="1:56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22" t="s">
        <v>167</v>
      </c>
      <c r="H37" s="22" t="s">
        <v>59</v>
      </c>
      <c r="I37" s="22" t="s">
        <v>84</v>
      </c>
      <c r="J37" s="23"/>
      <c r="K37" s="17" t="s">
        <v>580</v>
      </c>
      <c r="L37" s="17" t="s">
        <v>320</v>
      </c>
      <c r="M37" s="17" t="s">
        <v>87</v>
      </c>
      <c r="N37" s="17" t="s">
        <v>88</v>
      </c>
      <c r="O37" s="17" t="s">
        <v>88</v>
      </c>
      <c r="P37" s="17" t="s">
        <v>585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12</v>
      </c>
      <c r="Z37" s="17">
        <v>76.831249000038994</v>
      </c>
      <c r="AA37" s="16"/>
      <c r="AB37" s="16"/>
      <c r="AC37" s="16"/>
      <c r="AD37" s="16"/>
      <c r="AE37" s="16"/>
      <c r="AF37" s="16"/>
      <c r="AG37" s="16"/>
      <c r="AH37" s="17">
        <v>76.823126791976406</v>
      </c>
      <c r="AI37" s="17">
        <v>76.831249000038994</v>
      </c>
      <c r="AJ37" s="17">
        <v>76.831249000038994</v>
      </c>
      <c r="AK37" s="17">
        <v>76.831249000038994</v>
      </c>
      <c r="AL37" s="17">
        <v>1.9544591195881401E-3</v>
      </c>
      <c r="AM37" s="17">
        <v>78.087652208982007</v>
      </c>
      <c r="AN37" s="16"/>
      <c r="AO37" s="17" t="s">
        <v>580</v>
      </c>
      <c r="AP37" s="17" t="s">
        <v>320</v>
      </c>
      <c r="AQ37" s="17" t="s">
        <v>87</v>
      </c>
      <c r="AR37" s="17" t="s">
        <v>88</v>
      </c>
      <c r="AS37" s="17" t="s">
        <v>88</v>
      </c>
      <c r="AT37" s="17" t="s">
        <v>585</v>
      </c>
      <c r="AU37" s="17" t="s">
        <v>90</v>
      </c>
      <c r="AV37" s="17" t="s">
        <v>561</v>
      </c>
      <c r="AW37" s="17">
        <v>1</v>
      </c>
      <c r="AX37" s="17" t="s">
        <v>562</v>
      </c>
      <c r="AY37" s="17" t="s">
        <v>61</v>
      </c>
      <c r="AZ37" s="16"/>
      <c r="BA37" s="17" t="s">
        <v>62</v>
      </c>
      <c r="BB37" s="17" t="s">
        <v>172</v>
      </c>
      <c r="BC37" s="17" t="s">
        <v>563</v>
      </c>
      <c r="BD37" s="16"/>
    </row>
    <row r="38" spans="1:56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17" t="s">
        <v>125</v>
      </c>
      <c r="H38" s="17" t="s">
        <v>65</v>
      </c>
      <c r="I38" s="17" t="s">
        <v>84</v>
      </c>
      <c r="J38" s="17" t="s">
        <v>65</v>
      </c>
      <c r="K38" s="17" t="s">
        <v>580</v>
      </c>
      <c r="L38" s="17" t="s">
        <v>320</v>
      </c>
      <c r="M38" s="17" t="s">
        <v>87</v>
      </c>
      <c r="N38" s="17" t="s">
        <v>88</v>
      </c>
      <c r="O38" s="17" t="s">
        <v>88</v>
      </c>
      <c r="P38" s="17" t="s">
        <v>586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11</v>
      </c>
      <c r="Z38" s="17">
        <v>78.112292584031806</v>
      </c>
      <c r="AA38" s="16"/>
      <c r="AB38" s="16"/>
      <c r="AC38" s="16"/>
      <c r="AD38" s="16"/>
      <c r="AE38" s="16"/>
      <c r="AF38" s="16"/>
      <c r="AG38" s="16"/>
      <c r="AH38" s="17">
        <v>78.089218416949706</v>
      </c>
      <c r="AI38" s="17">
        <v>78.112292584031806</v>
      </c>
      <c r="AJ38" s="17">
        <v>78.112292584031806</v>
      </c>
      <c r="AK38" s="17">
        <v>78.112292584031806</v>
      </c>
      <c r="AL38" s="17">
        <v>1.4833752065897001E-3</v>
      </c>
      <c r="AM38" s="17">
        <v>81.255064541939703</v>
      </c>
      <c r="AN38" s="17" t="s">
        <v>65</v>
      </c>
      <c r="AO38" s="17" t="s">
        <v>580</v>
      </c>
      <c r="AP38" s="17" t="s">
        <v>320</v>
      </c>
      <c r="AQ38" s="17" t="s">
        <v>87</v>
      </c>
      <c r="AR38" s="17" t="s">
        <v>88</v>
      </c>
      <c r="AS38" s="17" t="s">
        <v>88</v>
      </c>
      <c r="AT38" s="17" t="s">
        <v>586</v>
      </c>
      <c r="AU38" s="17" t="s">
        <v>90</v>
      </c>
      <c r="AV38" s="17" t="s">
        <v>561</v>
      </c>
      <c r="AW38" s="17">
        <v>1</v>
      </c>
      <c r="AX38" s="17" t="s">
        <v>562</v>
      </c>
      <c r="AY38" s="17" t="s">
        <v>61</v>
      </c>
      <c r="AZ38" s="16"/>
      <c r="BA38" s="17" t="s">
        <v>62</v>
      </c>
      <c r="BB38" s="17" t="s">
        <v>172</v>
      </c>
      <c r="BC38" s="17" t="s">
        <v>563</v>
      </c>
      <c r="BD38" s="16"/>
    </row>
    <row r="39" spans="1:56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152</v>
      </c>
      <c r="H39" s="22" t="s">
        <v>153</v>
      </c>
      <c r="I39" s="22" t="s">
        <v>96</v>
      </c>
      <c r="J39" s="23"/>
      <c r="K39" s="17" t="s">
        <v>580</v>
      </c>
      <c r="L39" s="17" t="s">
        <v>320</v>
      </c>
      <c r="M39" s="17" t="s">
        <v>87</v>
      </c>
      <c r="N39" s="17" t="s">
        <v>88</v>
      </c>
      <c r="O39" s="17" t="s">
        <v>88</v>
      </c>
      <c r="P39" s="17" t="s">
        <v>587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20</v>
      </c>
      <c r="Z39" s="17">
        <v>81.266385874943794</v>
      </c>
      <c r="AA39" s="16"/>
      <c r="AB39" s="16"/>
      <c r="AC39" s="16"/>
      <c r="AD39" s="16"/>
      <c r="AE39" s="16"/>
      <c r="AF39" s="16"/>
      <c r="AG39" s="16"/>
      <c r="AH39" s="17">
        <v>81.257457416970297</v>
      </c>
      <c r="AI39" s="17">
        <v>81.266385874943794</v>
      </c>
      <c r="AJ39" s="17">
        <v>81.266385874943794</v>
      </c>
      <c r="AK39" s="17">
        <v>81.266385874943794</v>
      </c>
      <c r="AL39" s="17">
        <v>2.2997499909251898E-3</v>
      </c>
      <c r="AM39" s="17">
        <v>84.321295041823802</v>
      </c>
      <c r="AN39" s="16"/>
      <c r="AO39" s="17" t="s">
        <v>580</v>
      </c>
      <c r="AP39" s="17" t="s">
        <v>320</v>
      </c>
      <c r="AQ39" s="17" t="s">
        <v>87</v>
      </c>
      <c r="AR39" s="17" t="s">
        <v>88</v>
      </c>
      <c r="AS39" s="17" t="s">
        <v>88</v>
      </c>
      <c r="AT39" s="17" t="s">
        <v>587</v>
      </c>
      <c r="AU39" s="17" t="s">
        <v>90</v>
      </c>
      <c r="AV39" s="17" t="s">
        <v>561</v>
      </c>
      <c r="AW39" s="17">
        <v>1</v>
      </c>
      <c r="AX39" s="17" t="s">
        <v>562</v>
      </c>
      <c r="AY39" s="17" t="s">
        <v>61</v>
      </c>
      <c r="AZ39" s="16"/>
      <c r="BA39" s="17" t="s">
        <v>62</v>
      </c>
      <c r="BB39" s="17" t="s">
        <v>172</v>
      </c>
      <c r="BC39" s="17" t="s">
        <v>563</v>
      </c>
      <c r="BD39" s="16"/>
    </row>
    <row r="40" spans="1:56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17" t="s">
        <v>129</v>
      </c>
      <c r="H40" s="17" t="s">
        <v>72</v>
      </c>
      <c r="I40" s="17" t="s">
        <v>84</v>
      </c>
      <c r="J40" s="17" t="s">
        <v>72</v>
      </c>
      <c r="K40" s="17" t="s">
        <v>580</v>
      </c>
      <c r="L40" s="17" t="s">
        <v>320</v>
      </c>
      <c r="M40" s="17" t="s">
        <v>87</v>
      </c>
      <c r="N40" s="17" t="s">
        <v>88</v>
      </c>
      <c r="O40" s="17" t="s">
        <v>88</v>
      </c>
      <c r="P40" s="17" t="s">
        <v>588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0</v>
      </c>
      <c r="Z40" s="17">
        <v>84.345499458955601</v>
      </c>
      <c r="AA40" s="16"/>
      <c r="AB40" s="16"/>
      <c r="AC40" s="16"/>
      <c r="AD40" s="16"/>
      <c r="AE40" s="16"/>
      <c r="AF40" s="16"/>
      <c r="AG40" s="16"/>
      <c r="AH40" s="17">
        <v>84.322788124903994</v>
      </c>
      <c r="AI40" s="17">
        <v>84.345499458955601</v>
      </c>
      <c r="AJ40" s="17">
        <v>84.345499458955601</v>
      </c>
      <c r="AK40" s="17">
        <v>84.345499458955601</v>
      </c>
      <c r="AL40" s="17">
        <v>1.41691719181836E-3</v>
      </c>
      <c r="AM40" s="17">
        <v>86.187759541906402</v>
      </c>
      <c r="AN40" s="17" t="s">
        <v>72</v>
      </c>
      <c r="AO40" s="17" t="s">
        <v>580</v>
      </c>
      <c r="AP40" s="17" t="s">
        <v>320</v>
      </c>
      <c r="AQ40" s="17" t="s">
        <v>87</v>
      </c>
      <c r="AR40" s="17" t="s">
        <v>88</v>
      </c>
      <c r="AS40" s="17" t="s">
        <v>88</v>
      </c>
      <c r="AT40" s="17" t="s">
        <v>588</v>
      </c>
      <c r="AU40" s="17" t="s">
        <v>90</v>
      </c>
      <c r="AV40" s="17" t="s">
        <v>561</v>
      </c>
      <c r="AW40" s="17">
        <v>1</v>
      </c>
      <c r="AX40" s="17" t="s">
        <v>562</v>
      </c>
      <c r="AY40" s="17" t="s">
        <v>61</v>
      </c>
      <c r="AZ40" s="16"/>
      <c r="BA40" s="17" t="s">
        <v>62</v>
      </c>
      <c r="BB40" s="17" t="s">
        <v>172</v>
      </c>
      <c r="BC40" s="17" t="s">
        <v>563</v>
      </c>
      <c r="BD40" s="16"/>
    </row>
    <row r="41" spans="1:56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169</v>
      </c>
      <c r="H41" s="22" t="s">
        <v>77</v>
      </c>
      <c r="I41" s="22" t="s">
        <v>84</v>
      </c>
      <c r="J41" s="23"/>
      <c r="K41" s="17" t="s">
        <v>580</v>
      </c>
      <c r="L41" s="17" t="s">
        <v>253</v>
      </c>
      <c r="M41" s="17" t="s">
        <v>87</v>
      </c>
      <c r="N41" s="17" t="s">
        <v>88</v>
      </c>
      <c r="O41" s="17" t="s">
        <v>88</v>
      </c>
      <c r="P41" s="17" t="s">
        <v>589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10</v>
      </c>
      <c r="Z41" s="17">
        <v>86.199345083907303</v>
      </c>
      <c r="AA41" s="16"/>
      <c r="AB41" s="16"/>
      <c r="AC41" s="16"/>
      <c r="AD41" s="16"/>
      <c r="AE41" s="16"/>
      <c r="AF41" s="16"/>
      <c r="AG41" s="16"/>
      <c r="AH41" s="17">
        <v>86.190022666938603</v>
      </c>
      <c r="AI41" s="17">
        <v>86.199345083907303</v>
      </c>
      <c r="AJ41" s="17">
        <v>86.199345083907303</v>
      </c>
      <c r="AK41" s="17">
        <v>86.199345083907303</v>
      </c>
      <c r="AL41" s="17">
        <v>2.1725001279264702E-3</v>
      </c>
      <c r="AM41" s="17">
        <v>89.937224291963503</v>
      </c>
      <c r="AN41" s="16"/>
      <c r="AO41" s="17" t="s">
        <v>580</v>
      </c>
      <c r="AP41" s="17" t="s">
        <v>253</v>
      </c>
      <c r="AQ41" s="17" t="s">
        <v>87</v>
      </c>
      <c r="AR41" s="17" t="s">
        <v>88</v>
      </c>
      <c r="AS41" s="17" t="s">
        <v>88</v>
      </c>
      <c r="AT41" s="17" t="s">
        <v>589</v>
      </c>
      <c r="AU41" s="17" t="s">
        <v>90</v>
      </c>
      <c r="AV41" s="17" t="s">
        <v>561</v>
      </c>
      <c r="AW41" s="17">
        <v>1</v>
      </c>
      <c r="AX41" s="17" t="s">
        <v>562</v>
      </c>
      <c r="AY41" s="17" t="s">
        <v>61</v>
      </c>
      <c r="AZ41" s="16"/>
      <c r="BA41" s="17" t="s">
        <v>62</v>
      </c>
      <c r="BB41" s="17" t="s">
        <v>172</v>
      </c>
      <c r="BC41" s="17" t="s">
        <v>563</v>
      </c>
      <c r="BD41" s="16"/>
    </row>
    <row r="42" spans="1:56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17" t="s">
        <v>164</v>
      </c>
      <c r="H42" s="17" t="s">
        <v>80</v>
      </c>
      <c r="I42" s="17" t="s">
        <v>84</v>
      </c>
      <c r="J42" s="17" t="s">
        <v>80</v>
      </c>
      <c r="K42" s="17" t="s">
        <v>580</v>
      </c>
      <c r="L42" s="17" t="s">
        <v>253</v>
      </c>
      <c r="M42" s="17" t="s">
        <v>87</v>
      </c>
      <c r="N42" s="17" t="s">
        <v>88</v>
      </c>
      <c r="O42" s="17" t="s">
        <v>88</v>
      </c>
      <c r="P42" s="17" t="s">
        <v>590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15</v>
      </c>
      <c r="Z42" s="17">
        <v>89.962138833943797</v>
      </c>
      <c r="AA42" s="16"/>
      <c r="AB42" s="16"/>
      <c r="AC42" s="16"/>
      <c r="AD42" s="16"/>
      <c r="AE42" s="16"/>
      <c r="AF42" s="16"/>
      <c r="AG42" s="16"/>
      <c r="AH42" s="17">
        <v>89.938845249824197</v>
      </c>
      <c r="AI42" s="17">
        <v>89.962138833943797</v>
      </c>
      <c r="AJ42" s="17">
        <v>89.962138833943797</v>
      </c>
      <c r="AK42" s="17">
        <v>89.962138833943797</v>
      </c>
      <c r="AL42" s="17">
        <v>1.5306668356060999E-3</v>
      </c>
      <c r="AM42" s="17">
        <v>92.671696374891297</v>
      </c>
      <c r="AN42" s="17" t="s">
        <v>80</v>
      </c>
      <c r="AO42" s="17" t="s">
        <v>580</v>
      </c>
      <c r="AP42" s="17" t="s">
        <v>253</v>
      </c>
      <c r="AQ42" s="17" t="s">
        <v>87</v>
      </c>
      <c r="AR42" s="17" t="s">
        <v>88</v>
      </c>
      <c r="AS42" s="17" t="s">
        <v>88</v>
      </c>
      <c r="AT42" s="17" t="s">
        <v>590</v>
      </c>
      <c r="AU42" s="17" t="s">
        <v>90</v>
      </c>
      <c r="AV42" s="17" t="s">
        <v>561</v>
      </c>
      <c r="AW42" s="17">
        <v>1</v>
      </c>
      <c r="AX42" s="17" t="s">
        <v>562</v>
      </c>
      <c r="AY42" s="17" t="s">
        <v>61</v>
      </c>
      <c r="AZ42" s="16"/>
      <c r="BA42" s="17" t="s">
        <v>62</v>
      </c>
      <c r="BB42" s="17" t="s">
        <v>172</v>
      </c>
      <c r="BC42" s="17" t="s">
        <v>563</v>
      </c>
      <c r="BD42" s="16"/>
    </row>
    <row r="43" spans="1:56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100</v>
      </c>
      <c r="H43" s="17" t="s">
        <v>68</v>
      </c>
      <c r="I43" s="17" t="s">
        <v>84</v>
      </c>
      <c r="J43" s="17" t="s">
        <v>68</v>
      </c>
      <c r="K43" s="17" t="s">
        <v>580</v>
      </c>
      <c r="L43" s="17" t="s">
        <v>253</v>
      </c>
      <c r="M43" s="17" t="s">
        <v>87</v>
      </c>
      <c r="N43" s="17" t="s">
        <v>88</v>
      </c>
      <c r="O43" s="17" t="s">
        <v>88</v>
      </c>
      <c r="P43" s="17" t="s">
        <v>591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17</v>
      </c>
      <c r="Z43" s="17">
        <v>92.683322041994003</v>
      </c>
      <c r="AA43" s="16"/>
      <c r="AB43" s="16"/>
      <c r="AC43" s="16"/>
      <c r="AD43" s="16"/>
      <c r="AE43" s="16"/>
      <c r="AF43" s="16"/>
      <c r="AG43" s="16"/>
      <c r="AH43" s="17">
        <v>92.6742837920319</v>
      </c>
      <c r="AI43" s="17">
        <v>92.683322041994003</v>
      </c>
      <c r="AJ43" s="17">
        <v>92.683322041994003</v>
      </c>
      <c r="AK43" s="17">
        <v>92.683322041994003</v>
      </c>
      <c r="AL43" s="17">
        <v>2.49675009399653E-3</v>
      </c>
      <c r="AM43" s="17">
        <v>95.2714916670229</v>
      </c>
      <c r="AN43" s="17" t="s">
        <v>68</v>
      </c>
      <c r="AO43" s="17" t="s">
        <v>580</v>
      </c>
      <c r="AP43" s="17" t="s">
        <v>253</v>
      </c>
      <c r="AQ43" s="17" t="s">
        <v>87</v>
      </c>
      <c r="AR43" s="17" t="s">
        <v>88</v>
      </c>
      <c r="AS43" s="17" t="s">
        <v>88</v>
      </c>
      <c r="AT43" s="17" t="s">
        <v>591</v>
      </c>
      <c r="AU43" s="17" t="s">
        <v>90</v>
      </c>
      <c r="AV43" s="17" t="s">
        <v>561</v>
      </c>
      <c r="AW43" s="17">
        <v>1</v>
      </c>
      <c r="AX43" s="17" t="s">
        <v>562</v>
      </c>
      <c r="AY43" s="17" t="s">
        <v>61</v>
      </c>
      <c r="AZ43" s="16"/>
      <c r="BA43" s="17" t="s">
        <v>62</v>
      </c>
      <c r="BB43" s="17" t="s">
        <v>172</v>
      </c>
      <c r="BC43" s="17" t="s">
        <v>563</v>
      </c>
      <c r="BD43" s="16"/>
    </row>
    <row r="44" spans="1:56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17" t="s">
        <v>118</v>
      </c>
      <c r="H44" s="17" t="s">
        <v>75</v>
      </c>
      <c r="I44" s="17" t="s">
        <v>84</v>
      </c>
      <c r="J44" s="17" t="s">
        <v>75</v>
      </c>
      <c r="K44" s="17" t="s">
        <v>580</v>
      </c>
      <c r="L44" s="17" t="s">
        <v>253</v>
      </c>
      <c r="M44" s="17" t="s">
        <v>87</v>
      </c>
      <c r="N44" s="17" t="s">
        <v>88</v>
      </c>
      <c r="O44" s="17" t="s">
        <v>88</v>
      </c>
      <c r="P44" s="17" t="s">
        <v>592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7</v>
      </c>
      <c r="Z44" s="17">
        <v>95.282854167045997</v>
      </c>
      <c r="AA44" s="16"/>
      <c r="AB44" s="16"/>
      <c r="AC44" s="16"/>
      <c r="AD44" s="16"/>
      <c r="AE44" s="16"/>
      <c r="AF44" s="16"/>
      <c r="AG44" s="16"/>
      <c r="AH44" s="17">
        <v>95.273520333925305</v>
      </c>
      <c r="AI44" s="17">
        <v>95.282854167045997</v>
      </c>
      <c r="AJ44" s="17">
        <v>95.282854167045997</v>
      </c>
      <c r="AK44" s="17">
        <v>95.282854167045997</v>
      </c>
      <c r="AL44" s="17">
        <v>1.9364589825272599E-3</v>
      </c>
      <c r="AM44" s="17">
        <v>98.321782459039198</v>
      </c>
      <c r="AN44" s="17" t="s">
        <v>75</v>
      </c>
      <c r="AO44" s="17" t="s">
        <v>580</v>
      </c>
      <c r="AP44" s="17" t="s">
        <v>253</v>
      </c>
      <c r="AQ44" s="17" t="s">
        <v>87</v>
      </c>
      <c r="AR44" s="17" t="s">
        <v>88</v>
      </c>
      <c r="AS44" s="17" t="s">
        <v>88</v>
      </c>
      <c r="AT44" s="17" t="s">
        <v>592</v>
      </c>
      <c r="AU44" s="17" t="s">
        <v>90</v>
      </c>
      <c r="AV44" s="17" t="s">
        <v>561</v>
      </c>
      <c r="AW44" s="17">
        <v>1</v>
      </c>
      <c r="AX44" s="17" t="s">
        <v>562</v>
      </c>
      <c r="AY44" s="17" t="s">
        <v>61</v>
      </c>
      <c r="AZ44" s="16"/>
      <c r="BA44" s="17" t="s">
        <v>62</v>
      </c>
      <c r="BB44" s="17" t="s">
        <v>172</v>
      </c>
      <c r="BC44" s="17" t="s">
        <v>563</v>
      </c>
      <c r="BD44" s="16"/>
    </row>
    <row r="45" spans="1:56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22" t="s">
        <v>131</v>
      </c>
      <c r="H45" s="22" t="s">
        <v>76</v>
      </c>
      <c r="I45" s="22" t="s">
        <v>84</v>
      </c>
      <c r="J45" s="22" t="s">
        <v>347</v>
      </c>
      <c r="K45" s="17" t="s">
        <v>580</v>
      </c>
      <c r="L45" s="17" t="s">
        <v>253</v>
      </c>
      <c r="M45" s="17" t="s">
        <v>87</v>
      </c>
      <c r="N45" s="17" t="s">
        <v>88</v>
      </c>
      <c r="O45" s="17" t="s">
        <v>88</v>
      </c>
      <c r="P45" s="17" t="s">
        <v>593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6</v>
      </c>
      <c r="Z45" s="17">
        <v>98.333094500005302</v>
      </c>
      <c r="AA45" s="16"/>
      <c r="AB45" s="16"/>
      <c r="AC45" s="16"/>
      <c r="AD45" s="16"/>
      <c r="AE45" s="16"/>
      <c r="AF45" s="16"/>
      <c r="AG45" s="16"/>
      <c r="AH45" s="17">
        <v>98.324146958999293</v>
      </c>
      <c r="AI45" s="17">
        <v>98.333094500005302</v>
      </c>
      <c r="AJ45" s="17">
        <v>98.333094500005302</v>
      </c>
      <c r="AK45" s="17">
        <v>98.333094500005302</v>
      </c>
      <c r="AL45" s="17">
        <v>2.2717081010341601E-3</v>
      </c>
      <c r="AM45" s="17">
        <v>102.50532562495199</v>
      </c>
      <c r="AN45" s="17" t="s">
        <v>347</v>
      </c>
      <c r="AO45" s="17" t="s">
        <v>580</v>
      </c>
      <c r="AP45" s="17" t="s">
        <v>253</v>
      </c>
      <c r="AQ45" s="17" t="s">
        <v>87</v>
      </c>
      <c r="AR45" s="17" t="s">
        <v>88</v>
      </c>
      <c r="AS45" s="17" t="s">
        <v>88</v>
      </c>
      <c r="AT45" s="17" t="s">
        <v>593</v>
      </c>
      <c r="AU45" s="17" t="s">
        <v>90</v>
      </c>
      <c r="AV45" s="17" t="s">
        <v>561</v>
      </c>
      <c r="AW45" s="17">
        <v>1</v>
      </c>
      <c r="AX45" s="17" t="s">
        <v>562</v>
      </c>
      <c r="AY45" s="17" t="s">
        <v>61</v>
      </c>
      <c r="AZ45" s="16"/>
      <c r="BA45" s="17" t="s">
        <v>62</v>
      </c>
      <c r="BB45" s="17" t="s">
        <v>172</v>
      </c>
      <c r="BC45" s="17" t="s">
        <v>563</v>
      </c>
      <c r="BD45" s="16"/>
    </row>
    <row r="46" spans="1:56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144</v>
      </c>
      <c r="H46" s="17" t="s">
        <v>81</v>
      </c>
      <c r="I46" s="17" t="s">
        <v>84</v>
      </c>
      <c r="J46" s="17" t="s">
        <v>81</v>
      </c>
      <c r="K46" s="17" t="s">
        <v>580</v>
      </c>
      <c r="L46" s="17" t="s">
        <v>253</v>
      </c>
      <c r="M46" s="17" t="s">
        <v>87</v>
      </c>
      <c r="N46" s="17" t="s">
        <v>88</v>
      </c>
      <c r="O46" s="17" t="s">
        <v>88</v>
      </c>
      <c r="P46" s="17" t="s">
        <v>594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4</v>
      </c>
      <c r="Z46" s="17">
        <v>102.516290458851</v>
      </c>
      <c r="AA46" s="16"/>
      <c r="AB46" s="16"/>
      <c r="AC46" s="16"/>
      <c r="AD46" s="16"/>
      <c r="AE46" s="16"/>
      <c r="AF46" s="16"/>
      <c r="AG46" s="16"/>
      <c r="AH46" s="17">
        <v>102.507133041974</v>
      </c>
      <c r="AI46" s="17">
        <v>102.516290458851</v>
      </c>
      <c r="AJ46" s="17">
        <v>102.516290458851</v>
      </c>
      <c r="AK46" s="17">
        <v>102.516290458851</v>
      </c>
      <c r="AL46" s="17">
        <v>1.7147089820355201E-3</v>
      </c>
      <c r="AM46" s="17">
        <v>105.05485695903199</v>
      </c>
      <c r="AN46" s="17" t="s">
        <v>81</v>
      </c>
      <c r="AO46" s="17" t="s">
        <v>580</v>
      </c>
      <c r="AP46" s="17" t="s">
        <v>253</v>
      </c>
      <c r="AQ46" s="17" t="s">
        <v>87</v>
      </c>
      <c r="AR46" s="17" t="s">
        <v>88</v>
      </c>
      <c r="AS46" s="17" t="s">
        <v>88</v>
      </c>
      <c r="AT46" s="17" t="s">
        <v>594</v>
      </c>
      <c r="AU46" s="17" t="s">
        <v>90</v>
      </c>
      <c r="AV46" s="17" t="s">
        <v>561</v>
      </c>
      <c r="AW46" s="17">
        <v>1</v>
      </c>
      <c r="AX46" s="17" t="s">
        <v>562</v>
      </c>
      <c r="AY46" s="17" t="s">
        <v>61</v>
      </c>
      <c r="AZ46" s="16"/>
      <c r="BA46" s="17" t="s">
        <v>62</v>
      </c>
      <c r="BB46" s="17" t="s">
        <v>172</v>
      </c>
      <c r="BC46" s="17" t="s">
        <v>563</v>
      </c>
      <c r="BD46" s="16"/>
    </row>
    <row r="48" spans="1:56" ht="14" x14ac:dyDescent="0.15">
      <c r="K48" s="19" t="s">
        <v>630</v>
      </c>
      <c r="L48" s="17" t="s">
        <v>651</v>
      </c>
      <c r="M48">
        <f>12/13</f>
        <v>0.92307692307692313</v>
      </c>
    </row>
    <row r="49" spans="11:13" ht="14" x14ac:dyDescent="0.15">
      <c r="K49" s="19" t="s">
        <v>631</v>
      </c>
      <c r="L49" s="17" t="s">
        <v>636</v>
      </c>
      <c r="M49">
        <f>2/3</f>
        <v>0.66666666666666663</v>
      </c>
    </row>
    <row r="50" spans="11:13" x14ac:dyDescent="0.15">
      <c r="K50" s="1"/>
    </row>
    <row r="51" spans="11:13" x14ac:dyDescent="0.15">
      <c r="K51" s="19" t="s">
        <v>634</v>
      </c>
      <c r="M51">
        <f>M48-M49</f>
        <v>0.2564102564102565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FDA1-EF9C-6B47-9144-F93DDFE0566C}">
  <dimension ref="A1:BH53"/>
  <sheetViews>
    <sheetView topLeftCell="A39" zoomScale="125" workbookViewId="0">
      <selection activeCell="M53" sqref="M53"/>
    </sheetView>
  </sheetViews>
  <sheetFormatPr baseColWidth="10" defaultRowHeight="13" x14ac:dyDescent="0.15"/>
  <cols>
    <col min="2" max="4" width="11" bestFit="1" customWidth="1"/>
    <col min="5" max="6" width="11.6640625" bestFit="1" customWidth="1"/>
    <col min="11" max="11" width="27.5" customWidth="1"/>
    <col min="13" max="13" width="12.33203125" bestFit="1" customWidth="1"/>
    <col min="18" max="25" width="11" bestFit="1" customWidth="1"/>
  </cols>
  <sheetData>
    <row r="1" spans="1:60" ht="42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6"/>
    </row>
    <row r="2" spans="1:60" ht="56" x14ac:dyDescent="0.15">
      <c r="A2" s="15" t="s">
        <v>69</v>
      </c>
      <c r="B2" s="17">
        <v>0</v>
      </c>
      <c r="C2" s="17">
        <v>0</v>
      </c>
      <c r="D2" s="17">
        <v>0</v>
      </c>
      <c r="E2" s="17">
        <v>1.0719424460431699</v>
      </c>
      <c r="F2" s="17">
        <v>1.37688470818102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>
        <v>0</v>
      </c>
      <c r="S2" s="17">
        <v>0</v>
      </c>
      <c r="T2" s="17">
        <v>0</v>
      </c>
      <c r="U2" s="17">
        <v>8</v>
      </c>
      <c r="V2" s="16"/>
      <c r="W2" s="16"/>
      <c r="X2" s="16"/>
      <c r="Y2" s="16"/>
      <c r="Z2" s="17">
        <v>2.67279159743339E-2</v>
      </c>
      <c r="AA2" s="16"/>
      <c r="AB2" s="17">
        <v>1.18594160303473E-2</v>
      </c>
      <c r="AC2" s="17">
        <v>2.67279159743339E-2</v>
      </c>
      <c r="AD2" s="17">
        <v>2.67279159743339E-2</v>
      </c>
      <c r="AE2" s="17">
        <v>1.39773254096508</v>
      </c>
      <c r="AF2" s="17">
        <v>1.0719424460431699</v>
      </c>
      <c r="AG2" s="17">
        <v>1.37688470818102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 t="s">
        <v>595</v>
      </c>
      <c r="BA2" s="17">
        <v>1</v>
      </c>
      <c r="BB2" s="17" t="s">
        <v>596</v>
      </c>
      <c r="BC2" s="17" t="s">
        <v>61</v>
      </c>
      <c r="BD2" s="16"/>
      <c r="BE2" s="17" t="s">
        <v>62</v>
      </c>
      <c r="BF2" s="17" t="s">
        <v>172</v>
      </c>
      <c r="BG2" s="17" t="s">
        <v>597</v>
      </c>
      <c r="BH2" s="16"/>
    </row>
    <row r="3" spans="1:60" ht="56" x14ac:dyDescent="0.15">
      <c r="A3" s="15" t="s">
        <v>73</v>
      </c>
      <c r="B3" s="17">
        <v>1</v>
      </c>
      <c r="C3" s="17">
        <v>1</v>
      </c>
      <c r="D3" s="17">
        <v>0</v>
      </c>
      <c r="E3" s="17">
        <v>1.97122302158273</v>
      </c>
      <c r="F3" s="17">
        <v>1.90493379090913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7">
        <v>0</v>
      </c>
      <c r="S3" s="17">
        <v>1</v>
      </c>
      <c r="T3" s="17">
        <v>1</v>
      </c>
      <c r="U3" s="17">
        <v>14</v>
      </c>
      <c r="V3" s="16"/>
      <c r="W3" s="16"/>
      <c r="X3" s="16"/>
      <c r="Y3" s="16"/>
      <c r="Z3" s="17">
        <v>1.4068061250727599</v>
      </c>
      <c r="AA3" s="16"/>
      <c r="AB3" s="17">
        <v>1.4006688329391199</v>
      </c>
      <c r="AC3" s="17">
        <v>1.4068061250727599</v>
      </c>
      <c r="AD3" s="17">
        <v>1.4068061250727599</v>
      </c>
      <c r="AE3" s="17">
        <v>3.31486804108135</v>
      </c>
      <c r="AF3" s="17">
        <v>1.97122302158273</v>
      </c>
      <c r="AG3" s="17">
        <v>1.90493379090913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 t="s">
        <v>595</v>
      </c>
      <c r="BA3" s="17">
        <v>1</v>
      </c>
      <c r="BB3" s="17" t="s">
        <v>596</v>
      </c>
      <c r="BC3" s="17" t="s">
        <v>61</v>
      </c>
      <c r="BD3" s="16"/>
      <c r="BE3" s="17" t="s">
        <v>62</v>
      </c>
      <c r="BF3" s="17" t="s">
        <v>172</v>
      </c>
      <c r="BG3" s="17" t="s">
        <v>597</v>
      </c>
      <c r="BH3" s="16"/>
    </row>
    <row r="4" spans="1:60" ht="56" x14ac:dyDescent="0.15">
      <c r="A4" s="15" t="s">
        <v>67</v>
      </c>
      <c r="B4" s="17">
        <v>2</v>
      </c>
      <c r="C4" s="17">
        <v>2</v>
      </c>
      <c r="D4" s="17">
        <v>0</v>
      </c>
      <c r="E4" s="17">
        <v>1.97122302158273</v>
      </c>
      <c r="F4" s="17">
        <v>0.65400962485000502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>
        <v>0</v>
      </c>
      <c r="S4" s="17">
        <v>2</v>
      </c>
      <c r="T4" s="17">
        <v>2</v>
      </c>
      <c r="U4" s="17">
        <v>16</v>
      </c>
      <c r="V4" s="16"/>
      <c r="W4" s="16"/>
      <c r="X4" s="16"/>
      <c r="Y4" s="16"/>
      <c r="Z4" s="17">
        <v>3.3249628751073002</v>
      </c>
      <c r="AA4" s="16"/>
      <c r="AB4" s="17">
        <v>3.3184699581470301</v>
      </c>
      <c r="AC4" s="17">
        <v>3.3249628751073002</v>
      </c>
      <c r="AD4" s="17">
        <v>3.3249628751073002</v>
      </c>
      <c r="AE4" s="17">
        <v>3.9815512080676898</v>
      </c>
      <c r="AF4" s="17">
        <v>1.97122302158273</v>
      </c>
      <c r="AG4" s="17">
        <v>0.65400962485000502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 t="s">
        <v>595</v>
      </c>
      <c r="BA4" s="17">
        <v>1</v>
      </c>
      <c r="BB4" s="17" t="s">
        <v>596</v>
      </c>
      <c r="BC4" s="17" t="s">
        <v>61</v>
      </c>
      <c r="BD4" s="16"/>
      <c r="BE4" s="17" t="s">
        <v>62</v>
      </c>
      <c r="BF4" s="17" t="s">
        <v>172</v>
      </c>
      <c r="BG4" s="17" t="s">
        <v>597</v>
      </c>
      <c r="BH4" s="16"/>
    </row>
    <row r="5" spans="1:60" ht="56" x14ac:dyDescent="0.15">
      <c r="A5" s="15" t="s">
        <v>68</v>
      </c>
      <c r="B5" s="17">
        <v>3</v>
      </c>
      <c r="C5" s="17">
        <v>3</v>
      </c>
      <c r="D5" s="17">
        <v>0</v>
      </c>
      <c r="E5" s="17">
        <v>1.97122302158273</v>
      </c>
      <c r="F5" s="17">
        <v>0.787438792176545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7">
        <v>0</v>
      </c>
      <c r="S5" s="17">
        <v>3</v>
      </c>
      <c r="T5" s="17">
        <v>3</v>
      </c>
      <c r="U5" s="17">
        <v>17</v>
      </c>
      <c r="V5" s="16"/>
      <c r="W5" s="16"/>
      <c r="X5" s="16"/>
      <c r="Y5" s="16"/>
      <c r="Z5" s="17">
        <v>3.9913125410675998</v>
      </c>
      <c r="AA5" s="16"/>
      <c r="AB5" s="17">
        <v>3.98469120799564</v>
      </c>
      <c r="AC5" s="17">
        <v>3.9913125410675998</v>
      </c>
      <c r="AD5" s="17">
        <v>3.9913125410675998</v>
      </c>
      <c r="AE5" s="17">
        <v>4.7814819579943997</v>
      </c>
      <c r="AF5" s="17">
        <v>1.97122302158273</v>
      </c>
      <c r="AG5" s="17">
        <v>0.787438792176545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 t="s">
        <v>595</v>
      </c>
      <c r="BA5" s="17">
        <v>1</v>
      </c>
      <c r="BB5" s="17" t="s">
        <v>596</v>
      </c>
      <c r="BC5" s="17" t="s">
        <v>61</v>
      </c>
      <c r="BD5" s="16"/>
      <c r="BE5" s="17" t="s">
        <v>62</v>
      </c>
      <c r="BF5" s="17" t="s">
        <v>172</v>
      </c>
      <c r="BG5" s="17" t="s">
        <v>597</v>
      </c>
      <c r="BH5" s="16"/>
    </row>
    <row r="6" spans="1:60" ht="56" x14ac:dyDescent="0.15">
      <c r="A6" s="15" t="s">
        <v>75</v>
      </c>
      <c r="B6" s="17">
        <v>4</v>
      </c>
      <c r="C6" s="17">
        <v>4</v>
      </c>
      <c r="D6" s="17">
        <v>0</v>
      </c>
      <c r="E6" s="17">
        <v>1.97122302158273</v>
      </c>
      <c r="F6" s="17">
        <v>0.80489166686311397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0</v>
      </c>
      <c r="S6" s="17">
        <v>4</v>
      </c>
      <c r="T6" s="17">
        <v>4</v>
      </c>
      <c r="U6" s="17">
        <v>7</v>
      </c>
      <c r="V6" s="16"/>
      <c r="W6" s="16"/>
      <c r="X6" s="16"/>
      <c r="Y6" s="16"/>
      <c r="Z6" s="17">
        <v>4.7901794579811403</v>
      </c>
      <c r="AA6" s="16"/>
      <c r="AB6" s="17">
        <v>4.7837817079853302</v>
      </c>
      <c r="AC6" s="17">
        <v>4.7901794579811403</v>
      </c>
      <c r="AD6" s="17">
        <v>4.7901794579811403</v>
      </c>
      <c r="AE6" s="17">
        <v>5.5981692499481097</v>
      </c>
      <c r="AF6" s="17">
        <v>1.97122302158273</v>
      </c>
      <c r="AG6" s="17">
        <v>0.80489166686311397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 t="s">
        <v>595</v>
      </c>
      <c r="BA6" s="17">
        <v>1</v>
      </c>
      <c r="BB6" s="17" t="s">
        <v>596</v>
      </c>
      <c r="BC6" s="17" t="s">
        <v>61</v>
      </c>
      <c r="BD6" s="16"/>
      <c r="BE6" s="17" t="s">
        <v>62</v>
      </c>
      <c r="BF6" s="17" t="s">
        <v>172</v>
      </c>
      <c r="BG6" s="17" t="s">
        <v>597</v>
      </c>
      <c r="BH6" s="16"/>
    </row>
    <row r="7" spans="1:60" ht="56" x14ac:dyDescent="0.15">
      <c r="A7" s="15" t="s">
        <v>70</v>
      </c>
      <c r="B7" s="17">
        <v>5</v>
      </c>
      <c r="C7" s="17">
        <v>5</v>
      </c>
      <c r="D7" s="17">
        <v>0</v>
      </c>
      <c r="E7" s="17">
        <v>1</v>
      </c>
      <c r="F7" s="17">
        <v>1.1548811248503601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7">
        <v>0</v>
      </c>
      <c r="S7" s="17">
        <v>5</v>
      </c>
      <c r="T7" s="17">
        <v>5</v>
      </c>
      <c r="U7" s="17">
        <v>2</v>
      </c>
      <c r="V7" s="16"/>
      <c r="W7" s="16"/>
      <c r="X7" s="16"/>
      <c r="Y7" s="16"/>
      <c r="Z7" s="17">
        <v>5.6074076660443097</v>
      </c>
      <c r="AA7" s="16"/>
      <c r="AB7" s="17">
        <v>5.6007152909878597</v>
      </c>
      <c r="AC7" s="17">
        <v>5.6074076660443097</v>
      </c>
      <c r="AD7" s="17">
        <v>5.6074076660443097</v>
      </c>
      <c r="AE7" s="17">
        <v>6.7646208330988902</v>
      </c>
      <c r="AF7" s="17">
        <v>1</v>
      </c>
      <c r="AG7" s="17">
        <v>1.1548811248503601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 t="s">
        <v>595</v>
      </c>
      <c r="BA7" s="17">
        <v>1</v>
      </c>
      <c r="BB7" s="17" t="s">
        <v>596</v>
      </c>
      <c r="BC7" s="17" t="s">
        <v>61</v>
      </c>
      <c r="BD7" s="16"/>
      <c r="BE7" s="17" t="s">
        <v>62</v>
      </c>
      <c r="BF7" s="17" t="s">
        <v>172</v>
      </c>
      <c r="BG7" s="17" t="s">
        <v>597</v>
      </c>
      <c r="BH7" s="16"/>
    </row>
    <row r="8" spans="1:60" ht="56" x14ac:dyDescent="0.15">
      <c r="A8" s="15" t="s">
        <v>81</v>
      </c>
      <c r="B8" s="17">
        <v>6</v>
      </c>
      <c r="C8" s="17">
        <v>6</v>
      </c>
      <c r="D8" s="17">
        <v>0</v>
      </c>
      <c r="E8" s="17">
        <v>1</v>
      </c>
      <c r="F8" s="17">
        <v>1.0896004580426999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>
        <v>0</v>
      </c>
      <c r="S8" s="17">
        <v>6</v>
      </c>
      <c r="T8" s="17">
        <v>6</v>
      </c>
      <c r="U8" s="17">
        <v>4</v>
      </c>
      <c r="V8" s="16"/>
      <c r="W8" s="16"/>
      <c r="X8" s="16"/>
      <c r="Y8" s="16"/>
      <c r="Z8" s="17">
        <v>6.7724774160888099</v>
      </c>
      <c r="AA8" s="16"/>
      <c r="AB8" s="17">
        <v>6.7661275831051197</v>
      </c>
      <c r="AC8" s="17">
        <v>6.7724774160888099</v>
      </c>
      <c r="AD8" s="17">
        <v>6.7724774160888099</v>
      </c>
      <c r="AE8" s="17">
        <v>7.8646902500186098</v>
      </c>
      <c r="AF8" s="17">
        <v>1</v>
      </c>
      <c r="AG8" s="17">
        <v>1.0896004580426999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 t="s">
        <v>595</v>
      </c>
      <c r="BA8" s="17">
        <v>1</v>
      </c>
      <c r="BB8" s="17" t="s">
        <v>596</v>
      </c>
      <c r="BC8" s="17" t="s">
        <v>61</v>
      </c>
      <c r="BD8" s="16"/>
      <c r="BE8" s="17" t="s">
        <v>62</v>
      </c>
      <c r="BF8" s="17" t="s">
        <v>172</v>
      </c>
      <c r="BG8" s="17" t="s">
        <v>597</v>
      </c>
      <c r="BH8" s="16"/>
    </row>
    <row r="9" spans="1:60" ht="56" x14ac:dyDescent="0.15">
      <c r="A9" s="15" t="s">
        <v>78</v>
      </c>
      <c r="B9" s="17">
        <v>7</v>
      </c>
      <c r="C9" s="17">
        <v>7</v>
      </c>
      <c r="D9" s="17">
        <v>0</v>
      </c>
      <c r="E9" s="17">
        <v>1</v>
      </c>
      <c r="F9" s="17">
        <v>0.70544250006787501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7">
        <v>0</v>
      </c>
      <c r="S9" s="17">
        <v>7</v>
      </c>
      <c r="T9" s="17">
        <v>7</v>
      </c>
      <c r="U9" s="17">
        <v>5</v>
      </c>
      <c r="V9" s="16"/>
      <c r="W9" s="16"/>
      <c r="X9" s="16"/>
      <c r="Y9" s="16"/>
      <c r="Z9" s="17">
        <v>7.8732251659966996</v>
      </c>
      <c r="AA9" s="16"/>
      <c r="AB9" s="17">
        <v>7.8665196660440397</v>
      </c>
      <c r="AC9" s="17">
        <v>7.8732251659966996</v>
      </c>
      <c r="AD9" s="17">
        <v>7.8732251659966996</v>
      </c>
      <c r="AE9" s="17">
        <v>8.5813433330040407</v>
      </c>
      <c r="AF9" s="17">
        <v>1</v>
      </c>
      <c r="AG9" s="17">
        <v>0.70544250006787501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 t="s">
        <v>595</v>
      </c>
      <c r="BA9" s="17">
        <v>1</v>
      </c>
      <c r="BB9" s="17" t="s">
        <v>596</v>
      </c>
      <c r="BC9" s="17" t="s">
        <v>61</v>
      </c>
      <c r="BD9" s="16"/>
      <c r="BE9" s="17" t="s">
        <v>62</v>
      </c>
      <c r="BF9" s="17" t="s">
        <v>172</v>
      </c>
      <c r="BG9" s="17" t="s">
        <v>597</v>
      </c>
      <c r="BH9" s="16"/>
    </row>
    <row r="10" spans="1:60" ht="56" x14ac:dyDescent="0.15">
      <c r="A10" s="15" t="s">
        <v>65</v>
      </c>
      <c r="B10" s="17">
        <v>8</v>
      </c>
      <c r="C10" s="17">
        <v>8</v>
      </c>
      <c r="D10" s="17">
        <v>0</v>
      </c>
      <c r="E10" s="17">
        <v>2.0071942446043201</v>
      </c>
      <c r="F10" s="17">
        <v>1.0059261249844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7">
        <v>0</v>
      </c>
      <c r="S10" s="17">
        <v>8</v>
      </c>
      <c r="T10" s="17">
        <v>8</v>
      </c>
      <c r="U10" s="17">
        <v>11</v>
      </c>
      <c r="V10" s="16"/>
      <c r="W10" s="16"/>
      <c r="X10" s="16"/>
      <c r="Y10" s="16"/>
      <c r="Z10" s="17">
        <v>8.5898301249835605</v>
      </c>
      <c r="AA10" s="16"/>
      <c r="AB10" s="17">
        <v>8.5831667911261302</v>
      </c>
      <c r="AC10" s="17">
        <v>8.5898301249835605</v>
      </c>
      <c r="AD10" s="17">
        <v>8.5898301249835605</v>
      </c>
      <c r="AE10" s="17">
        <v>9.5981614999473095</v>
      </c>
      <c r="AF10" s="17">
        <v>2.0071942446043201</v>
      </c>
      <c r="AG10" s="17">
        <v>1.0059261249844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 t="s">
        <v>595</v>
      </c>
      <c r="BA10" s="17">
        <v>1</v>
      </c>
      <c r="BB10" s="17" t="s">
        <v>596</v>
      </c>
      <c r="BC10" s="17" t="s">
        <v>61</v>
      </c>
      <c r="BD10" s="16"/>
      <c r="BE10" s="17" t="s">
        <v>62</v>
      </c>
      <c r="BF10" s="17" t="s">
        <v>172</v>
      </c>
      <c r="BG10" s="17" t="s">
        <v>597</v>
      </c>
      <c r="BH10" s="16"/>
    </row>
    <row r="11" spans="1:60" ht="56" x14ac:dyDescent="0.15">
      <c r="A11" s="15" t="s">
        <v>64</v>
      </c>
      <c r="B11" s="17">
        <v>9</v>
      </c>
      <c r="C11" s="17">
        <v>9</v>
      </c>
      <c r="D11" s="17">
        <v>0</v>
      </c>
      <c r="E11" s="17">
        <v>2.0071942446043201</v>
      </c>
      <c r="F11" s="17">
        <v>0.65518916700966701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7">
        <v>0</v>
      </c>
      <c r="S11" s="17">
        <v>9</v>
      </c>
      <c r="T11" s="17">
        <v>9</v>
      </c>
      <c r="U11" s="17">
        <v>18</v>
      </c>
      <c r="V11" s="16"/>
      <c r="W11" s="16"/>
      <c r="X11" s="16"/>
      <c r="Y11" s="16"/>
      <c r="Z11" s="17">
        <v>9.6063813329674304</v>
      </c>
      <c r="AA11" s="16"/>
      <c r="AB11" s="17">
        <v>9.5999695409555006</v>
      </c>
      <c r="AC11" s="17">
        <v>9.6063813329674304</v>
      </c>
      <c r="AD11" s="17">
        <v>9.6063813329674304</v>
      </c>
      <c r="AE11" s="17">
        <v>10.264893500134299</v>
      </c>
      <c r="AF11" s="17">
        <v>2.0071942446043201</v>
      </c>
      <c r="AG11" s="17">
        <v>0.65518916700966701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 t="s">
        <v>595</v>
      </c>
      <c r="BA11" s="17">
        <v>1</v>
      </c>
      <c r="BB11" s="17" t="s">
        <v>596</v>
      </c>
      <c r="BC11" s="17" t="s">
        <v>61</v>
      </c>
      <c r="BD11" s="16"/>
      <c r="BE11" s="17" t="s">
        <v>62</v>
      </c>
      <c r="BF11" s="17" t="s">
        <v>172</v>
      </c>
      <c r="BG11" s="17" t="s">
        <v>597</v>
      </c>
      <c r="BH11" s="16"/>
    </row>
    <row r="12" spans="1:60" ht="56" x14ac:dyDescent="0.15">
      <c r="A12" s="15" t="s">
        <v>76</v>
      </c>
      <c r="B12" s="17">
        <v>10</v>
      </c>
      <c r="C12" s="17">
        <v>10</v>
      </c>
      <c r="D12" s="17">
        <v>0</v>
      </c>
      <c r="E12" s="17">
        <v>1</v>
      </c>
      <c r="F12" s="17">
        <v>1.2561858328990601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>
        <v>0</v>
      </c>
      <c r="S12" s="17">
        <v>10</v>
      </c>
      <c r="T12" s="17">
        <v>10</v>
      </c>
      <c r="U12" s="17">
        <v>6</v>
      </c>
      <c r="V12" s="16"/>
      <c r="W12" s="16"/>
      <c r="X12" s="16"/>
      <c r="Y12" s="16"/>
      <c r="Z12" s="17">
        <v>10.272497791098401</v>
      </c>
      <c r="AA12" s="16"/>
      <c r="AB12" s="17">
        <v>10.2662836660165</v>
      </c>
      <c r="AC12" s="17">
        <v>10.272497791098401</v>
      </c>
      <c r="AD12" s="17">
        <v>10.272497791098401</v>
      </c>
      <c r="AE12" s="17">
        <v>11.5314909999724</v>
      </c>
      <c r="AF12" s="17">
        <v>1</v>
      </c>
      <c r="AG12" s="17">
        <v>1.2561858328990601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 t="s">
        <v>595</v>
      </c>
      <c r="BA12" s="17">
        <v>1</v>
      </c>
      <c r="BB12" s="17" t="s">
        <v>596</v>
      </c>
      <c r="BC12" s="17" t="s">
        <v>61</v>
      </c>
      <c r="BD12" s="16"/>
      <c r="BE12" s="17" t="s">
        <v>62</v>
      </c>
      <c r="BF12" s="17" t="s">
        <v>172</v>
      </c>
      <c r="BG12" s="17" t="s">
        <v>597</v>
      </c>
      <c r="BH12" s="16"/>
    </row>
    <row r="13" spans="1:60" ht="56" x14ac:dyDescent="0.15">
      <c r="A13" s="15" t="s">
        <v>72</v>
      </c>
      <c r="B13" s="17">
        <v>11</v>
      </c>
      <c r="C13" s="17">
        <v>11</v>
      </c>
      <c r="D13" s="17">
        <v>0</v>
      </c>
      <c r="E13" s="17">
        <v>1</v>
      </c>
      <c r="F13" s="17">
        <v>0.88961700000800203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7">
        <v>0</v>
      </c>
      <c r="S13" s="17">
        <v>11</v>
      </c>
      <c r="T13" s="17">
        <v>11</v>
      </c>
      <c r="U13" s="17">
        <v>0</v>
      </c>
      <c r="V13" s="16"/>
      <c r="W13" s="16"/>
      <c r="X13" s="16"/>
      <c r="Y13" s="16"/>
      <c r="Z13" s="17">
        <v>11.5397879160009</v>
      </c>
      <c r="AA13" s="16"/>
      <c r="AB13" s="17">
        <v>11.5331399580464</v>
      </c>
      <c r="AC13" s="17">
        <v>11.5397879160009</v>
      </c>
      <c r="AD13" s="17">
        <v>11.5397879160009</v>
      </c>
      <c r="AE13" s="17">
        <v>12.4310997501016</v>
      </c>
      <c r="AF13" s="17">
        <v>1</v>
      </c>
      <c r="AG13" s="17">
        <v>0.88961700000800203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 t="s">
        <v>595</v>
      </c>
      <c r="BA13" s="17">
        <v>1</v>
      </c>
      <c r="BB13" s="17" t="s">
        <v>596</v>
      </c>
      <c r="BC13" s="17" t="s">
        <v>61</v>
      </c>
      <c r="BD13" s="16"/>
      <c r="BE13" s="17" t="s">
        <v>62</v>
      </c>
      <c r="BF13" s="17" t="s">
        <v>172</v>
      </c>
      <c r="BG13" s="17" t="s">
        <v>597</v>
      </c>
      <c r="BH13" s="16"/>
    </row>
    <row r="14" spans="1:60" ht="56" x14ac:dyDescent="0.15">
      <c r="A14" s="15" t="s">
        <v>82</v>
      </c>
      <c r="B14" s="17">
        <v>12</v>
      </c>
      <c r="C14" s="17">
        <v>12</v>
      </c>
      <c r="D14" s="17">
        <v>0</v>
      </c>
      <c r="E14" s="17">
        <v>1</v>
      </c>
      <c r="F14" s="17">
        <v>3.4726384170353399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7">
        <v>0</v>
      </c>
      <c r="S14" s="17">
        <v>12</v>
      </c>
      <c r="T14" s="17">
        <v>12</v>
      </c>
      <c r="U14" s="17">
        <v>9</v>
      </c>
      <c r="V14" s="16"/>
      <c r="W14" s="16"/>
      <c r="X14" s="16"/>
      <c r="Y14" s="16"/>
      <c r="Z14" s="17">
        <v>12.4401370410342</v>
      </c>
      <c r="AA14" s="16"/>
      <c r="AB14" s="17">
        <v>12.4330474999733</v>
      </c>
      <c r="AC14" s="17">
        <v>12.4401370410342</v>
      </c>
      <c r="AD14" s="17">
        <v>12.4401370410342</v>
      </c>
      <c r="AE14" s="17">
        <v>15.9143120001536</v>
      </c>
      <c r="AF14" s="17">
        <v>1</v>
      </c>
      <c r="AG14" s="17">
        <v>3.4726384170353399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 t="s">
        <v>595</v>
      </c>
      <c r="BA14" s="17">
        <v>1</v>
      </c>
      <c r="BB14" s="17" t="s">
        <v>596</v>
      </c>
      <c r="BC14" s="17" t="s">
        <v>61</v>
      </c>
      <c r="BD14" s="16"/>
      <c r="BE14" s="17" t="s">
        <v>62</v>
      </c>
      <c r="BF14" s="17" t="s">
        <v>172</v>
      </c>
      <c r="BG14" s="17" t="s">
        <v>597</v>
      </c>
      <c r="BH14" s="16"/>
    </row>
    <row r="15" spans="1:60" ht="56" x14ac:dyDescent="0.15">
      <c r="A15" s="15" t="s">
        <v>79</v>
      </c>
      <c r="B15" s="17">
        <v>13</v>
      </c>
      <c r="C15" s="17">
        <v>13</v>
      </c>
      <c r="D15" s="17">
        <v>0</v>
      </c>
      <c r="E15" s="17">
        <v>1</v>
      </c>
      <c r="F15" s="17">
        <v>0.73978174990043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>
        <v>0</v>
      </c>
      <c r="S15" s="17">
        <v>13</v>
      </c>
      <c r="T15" s="17">
        <v>13</v>
      </c>
      <c r="U15" s="17">
        <v>3</v>
      </c>
      <c r="V15" s="16"/>
      <c r="W15" s="16"/>
      <c r="X15" s="16"/>
      <c r="Y15" s="16"/>
      <c r="Z15" s="17">
        <v>15.922600791091099</v>
      </c>
      <c r="AA15" s="16"/>
      <c r="AB15" s="17">
        <v>15.916109583107801</v>
      </c>
      <c r="AC15" s="17">
        <v>15.922600791091099</v>
      </c>
      <c r="AD15" s="17">
        <v>15.922600791091099</v>
      </c>
      <c r="AE15" s="17">
        <v>16.664854041067901</v>
      </c>
      <c r="AF15" s="17">
        <v>1</v>
      </c>
      <c r="AG15" s="17">
        <v>0.73978174990043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 t="s">
        <v>595</v>
      </c>
      <c r="BA15" s="17">
        <v>1</v>
      </c>
      <c r="BB15" s="17" t="s">
        <v>596</v>
      </c>
      <c r="BC15" s="17" t="s">
        <v>61</v>
      </c>
      <c r="BD15" s="16"/>
      <c r="BE15" s="17" t="s">
        <v>62</v>
      </c>
      <c r="BF15" s="17" t="s">
        <v>172</v>
      </c>
      <c r="BG15" s="17" t="s">
        <v>597</v>
      </c>
      <c r="BH15" s="16"/>
    </row>
    <row r="16" spans="1:60" ht="56" x14ac:dyDescent="0.15">
      <c r="A16" s="15" t="s">
        <v>59</v>
      </c>
      <c r="B16" s="17">
        <v>14</v>
      </c>
      <c r="C16" s="17">
        <v>14</v>
      </c>
      <c r="D16" s="17">
        <v>0</v>
      </c>
      <c r="E16" s="17">
        <v>2.0791366906474802</v>
      </c>
      <c r="F16" s="17">
        <v>1.10560337500647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7">
        <v>0</v>
      </c>
      <c r="S16" s="17">
        <v>14</v>
      </c>
      <c r="T16" s="17">
        <v>14</v>
      </c>
      <c r="U16" s="17">
        <v>12</v>
      </c>
      <c r="V16" s="16"/>
      <c r="W16" s="16"/>
      <c r="X16" s="16"/>
      <c r="Y16" s="16"/>
      <c r="Z16" s="17">
        <v>16.673462500097202</v>
      </c>
      <c r="AA16" s="16"/>
      <c r="AB16" s="17">
        <v>16.666786166140799</v>
      </c>
      <c r="AC16" s="17">
        <v>16.673462500097202</v>
      </c>
      <c r="AD16" s="17">
        <v>16.673462500097202</v>
      </c>
      <c r="AE16" s="17">
        <v>17.7814300409518</v>
      </c>
      <c r="AF16" s="17">
        <v>2.0791366906474802</v>
      </c>
      <c r="AG16" s="17">
        <v>1.10560337500647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 t="s">
        <v>595</v>
      </c>
      <c r="BA16" s="17">
        <v>1</v>
      </c>
      <c r="BB16" s="17" t="s">
        <v>596</v>
      </c>
      <c r="BC16" s="17" t="s">
        <v>61</v>
      </c>
      <c r="BD16" s="16"/>
      <c r="BE16" s="17" t="s">
        <v>62</v>
      </c>
      <c r="BF16" s="17" t="s">
        <v>172</v>
      </c>
      <c r="BG16" s="17" t="s">
        <v>597</v>
      </c>
      <c r="BH16" s="16"/>
    </row>
    <row r="17" spans="1:60" ht="56" x14ac:dyDescent="0.15">
      <c r="A17" s="15" t="s">
        <v>71</v>
      </c>
      <c r="B17" s="17">
        <v>15</v>
      </c>
      <c r="C17" s="17">
        <v>15</v>
      </c>
      <c r="D17" s="17">
        <v>0</v>
      </c>
      <c r="E17" s="17">
        <v>1.9856115107913701</v>
      </c>
      <c r="F17" s="17">
        <v>1.73835508292541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v>0</v>
      </c>
      <c r="S17" s="17">
        <v>15</v>
      </c>
      <c r="T17" s="17">
        <v>15</v>
      </c>
      <c r="U17" s="17">
        <v>19</v>
      </c>
      <c r="V17" s="16"/>
      <c r="W17" s="16"/>
      <c r="X17" s="16"/>
      <c r="Y17" s="16"/>
      <c r="Z17" s="17">
        <v>17.790817165980101</v>
      </c>
      <c r="AA17" s="16"/>
      <c r="AB17" s="17">
        <v>17.784097749972702</v>
      </c>
      <c r="AC17" s="17">
        <v>17.790817165980101</v>
      </c>
      <c r="AD17" s="17">
        <v>17.790817165980101</v>
      </c>
      <c r="AE17" s="17">
        <v>19.531448499998099</v>
      </c>
      <c r="AF17" s="17">
        <v>1.9856115107913701</v>
      </c>
      <c r="AG17" s="17">
        <v>1.73835508292541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 t="s">
        <v>595</v>
      </c>
      <c r="BA17" s="17">
        <v>1</v>
      </c>
      <c r="BB17" s="17" t="s">
        <v>596</v>
      </c>
      <c r="BC17" s="17" t="s">
        <v>61</v>
      </c>
      <c r="BD17" s="16"/>
      <c r="BE17" s="17" t="s">
        <v>62</v>
      </c>
      <c r="BF17" s="17" t="s">
        <v>172</v>
      </c>
      <c r="BG17" s="17" t="s">
        <v>597</v>
      </c>
      <c r="BH17" s="16"/>
    </row>
    <row r="18" spans="1:60" ht="56" x14ac:dyDescent="0.15">
      <c r="A18" s="15" t="s">
        <v>77</v>
      </c>
      <c r="B18" s="17">
        <v>16</v>
      </c>
      <c r="C18" s="17">
        <v>16</v>
      </c>
      <c r="D18" s="17">
        <v>0</v>
      </c>
      <c r="E18" s="17">
        <v>1.9856115107913701</v>
      </c>
      <c r="F18" s="17">
        <v>0.93853166606277205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v>0</v>
      </c>
      <c r="S18" s="17">
        <v>16</v>
      </c>
      <c r="T18" s="17">
        <v>16</v>
      </c>
      <c r="U18" s="17">
        <v>10</v>
      </c>
      <c r="V18" s="16"/>
      <c r="W18" s="16"/>
      <c r="X18" s="16"/>
      <c r="Y18" s="16"/>
      <c r="Z18" s="17">
        <v>19.5403752501588</v>
      </c>
      <c r="AA18" s="16"/>
      <c r="AB18" s="17">
        <v>19.5338775001001</v>
      </c>
      <c r="AC18" s="17">
        <v>19.5403752501588</v>
      </c>
      <c r="AD18" s="17">
        <v>19.5403752501588</v>
      </c>
      <c r="AE18" s="17">
        <v>20.481436708010701</v>
      </c>
      <c r="AF18" s="17">
        <v>1.9856115107913701</v>
      </c>
      <c r="AG18" s="17">
        <v>0.93853166606277205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 t="s">
        <v>595</v>
      </c>
      <c r="BA18" s="17">
        <v>1</v>
      </c>
      <c r="BB18" s="17" t="s">
        <v>596</v>
      </c>
      <c r="BC18" s="17" t="s">
        <v>61</v>
      </c>
      <c r="BD18" s="16"/>
      <c r="BE18" s="17" t="s">
        <v>62</v>
      </c>
      <c r="BF18" s="17" t="s">
        <v>172</v>
      </c>
      <c r="BG18" s="17" t="s">
        <v>597</v>
      </c>
      <c r="BH18" s="16"/>
    </row>
    <row r="19" spans="1:60" ht="56" x14ac:dyDescent="0.15">
      <c r="A19" s="15" t="s">
        <v>80</v>
      </c>
      <c r="B19" s="17">
        <v>17</v>
      </c>
      <c r="C19" s="17">
        <v>17</v>
      </c>
      <c r="D19" s="17">
        <v>0</v>
      </c>
      <c r="E19" s="17">
        <v>1.9856115107913701</v>
      </c>
      <c r="F19" s="17">
        <v>1.05620037484914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>
        <v>0</v>
      </c>
      <c r="S19" s="17">
        <v>17</v>
      </c>
      <c r="T19" s="17">
        <v>17</v>
      </c>
      <c r="U19" s="17">
        <v>15</v>
      </c>
      <c r="V19" s="16"/>
      <c r="W19" s="16"/>
      <c r="X19" s="16"/>
      <c r="Y19" s="16"/>
      <c r="Z19" s="17">
        <v>20.4898286249954</v>
      </c>
      <c r="AA19" s="16"/>
      <c r="AB19" s="17">
        <v>20.483201958006202</v>
      </c>
      <c r="AC19" s="17">
        <v>20.4898286249954</v>
      </c>
      <c r="AD19" s="17">
        <v>20.4898286249954</v>
      </c>
      <c r="AE19" s="17">
        <v>21.548056290950601</v>
      </c>
      <c r="AF19" s="17">
        <v>1.9856115107913701</v>
      </c>
      <c r="AG19" s="17">
        <v>1.05620037484914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 t="s">
        <v>595</v>
      </c>
      <c r="BA19" s="17">
        <v>1</v>
      </c>
      <c r="BB19" s="17" t="s">
        <v>596</v>
      </c>
      <c r="BC19" s="17" t="s">
        <v>61</v>
      </c>
      <c r="BD19" s="16"/>
      <c r="BE19" s="17" t="s">
        <v>62</v>
      </c>
      <c r="BF19" s="17" t="s">
        <v>172</v>
      </c>
      <c r="BG19" s="17" t="s">
        <v>597</v>
      </c>
      <c r="BH19" s="16"/>
    </row>
    <row r="20" spans="1:60" ht="56" x14ac:dyDescent="0.15">
      <c r="A20" s="15" t="s">
        <v>74</v>
      </c>
      <c r="B20" s="17">
        <v>18</v>
      </c>
      <c r="C20" s="17">
        <v>18</v>
      </c>
      <c r="D20" s="17">
        <v>0</v>
      </c>
      <c r="E20" s="17">
        <v>1.9856115107913701</v>
      </c>
      <c r="F20" s="17">
        <v>0.87197958398610398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v>0</v>
      </c>
      <c r="S20" s="17">
        <v>18</v>
      </c>
      <c r="T20" s="17">
        <v>18</v>
      </c>
      <c r="U20" s="17">
        <v>13</v>
      </c>
      <c r="V20" s="16"/>
      <c r="W20" s="16"/>
      <c r="X20" s="16"/>
      <c r="Y20" s="16"/>
      <c r="Z20" s="17">
        <v>21.556645415956201</v>
      </c>
      <c r="AA20" s="16"/>
      <c r="AB20" s="17">
        <v>21.549896290991502</v>
      </c>
      <c r="AC20" s="17">
        <v>21.556645415956201</v>
      </c>
      <c r="AD20" s="17">
        <v>21.556645415956201</v>
      </c>
      <c r="AE20" s="17">
        <v>22.431491625029601</v>
      </c>
      <c r="AF20" s="17">
        <v>1.9856115107913701</v>
      </c>
      <c r="AG20" s="17">
        <v>0.87197958398610398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 t="s">
        <v>595</v>
      </c>
      <c r="BA20" s="17">
        <v>1</v>
      </c>
      <c r="BB20" s="17" t="s">
        <v>596</v>
      </c>
      <c r="BC20" s="17" t="s">
        <v>61</v>
      </c>
      <c r="BD20" s="16"/>
      <c r="BE20" s="17" t="s">
        <v>62</v>
      </c>
      <c r="BF20" s="17" t="s">
        <v>172</v>
      </c>
      <c r="BG20" s="17" t="s">
        <v>597</v>
      </c>
      <c r="BH20" s="16"/>
    </row>
    <row r="21" spans="1:60" ht="56" x14ac:dyDescent="0.15">
      <c r="A21" s="15" t="s">
        <v>66</v>
      </c>
      <c r="B21" s="17">
        <v>19</v>
      </c>
      <c r="C21" s="17">
        <v>19</v>
      </c>
      <c r="D21" s="17">
        <v>0</v>
      </c>
      <c r="E21" s="17">
        <v>1</v>
      </c>
      <c r="F21" s="17">
        <v>1.87253295793198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v>0</v>
      </c>
      <c r="S21" s="17">
        <v>19</v>
      </c>
      <c r="T21" s="17">
        <v>19</v>
      </c>
      <c r="U21" s="17">
        <v>1</v>
      </c>
      <c r="V21" s="16"/>
      <c r="W21" s="16"/>
      <c r="X21" s="16"/>
      <c r="Y21" s="16"/>
      <c r="Z21" s="17">
        <v>22.439851750153998</v>
      </c>
      <c r="AA21" s="16"/>
      <c r="AB21" s="17">
        <v>22.433245916152401</v>
      </c>
      <c r="AC21" s="17">
        <v>22.439851750153998</v>
      </c>
      <c r="AD21" s="17">
        <v>22.439851750153998</v>
      </c>
      <c r="AE21" s="17">
        <v>24.314776791026802</v>
      </c>
      <c r="AF21" s="17">
        <v>1</v>
      </c>
      <c r="AG21" s="17">
        <v>1.87253295793198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 t="s">
        <v>595</v>
      </c>
      <c r="BA21" s="17">
        <v>1</v>
      </c>
      <c r="BB21" s="17" t="s">
        <v>596</v>
      </c>
      <c r="BC21" s="17" t="s">
        <v>61</v>
      </c>
      <c r="BD21" s="16"/>
      <c r="BE21" s="17" t="s">
        <v>62</v>
      </c>
      <c r="BF21" s="17" t="s">
        <v>172</v>
      </c>
      <c r="BG21" s="17" t="s">
        <v>597</v>
      </c>
      <c r="BH21" s="16"/>
    </row>
    <row r="22" spans="1:60" ht="98" x14ac:dyDescent="0.15">
      <c r="A22" s="16"/>
      <c r="B22" s="17">
        <v>0</v>
      </c>
      <c r="C22" s="17">
        <v>0</v>
      </c>
      <c r="D22" s="17">
        <v>0</v>
      </c>
      <c r="E22" s="16"/>
      <c r="F22" s="16"/>
      <c r="G22" s="17" t="s">
        <v>144</v>
      </c>
      <c r="H22" s="17" t="s">
        <v>81</v>
      </c>
      <c r="I22" s="17" t="s">
        <v>84</v>
      </c>
      <c r="J22" s="17" t="s">
        <v>81</v>
      </c>
      <c r="K22" s="17" t="s">
        <v>598</v>
      </c>
      <c r="L22" s="17" t="s">
        <v>599</v>
      </c>
      <c r="M22" s="17" t="s">
        <v>110</v>
      </c>
      <c r="N22" s="17" t="s">
        <v>111</v>
      </c>
      <c r="O22" s="17" t="s">
        <v>111</v>
      </c>
      <c r="P22" s="17" t="s">
        <v>600</v>
      </c>
      <c r="Q22" s="17" t="s">
        <v>113</v>
      </c>
      <c r="R22" s="16"/>
      <c r="S22" s="16"/>
      <c r="T22" s="16"/>
      <c r="U22" s="16"/>
      <c r="V22" s="17">
        <v>0</v>
      </c>
      <c r="W22" s="17">
        <v>0</v>
      </c>
      <c r="X22" s="17">
        <v>0</v>
      </c>
      <c r="Y22" s="17">
        <v>4</v>
      </c>
      <c r="Z22" s="17">
        <v>24.333045416045898</v>
      </c>
      <c r="AA22" s="16"/>
      <c r="AB22" s="16"/>
      <c r="AC22" s="16"/>
      <c r="AD22" s="16"/>
      <c r="AE22" s="16"/>
      <c r="AF22" s="16"/>
      <c r="AG22" s="16"/>
      <c r="AH22" s="17">
        <v>24.324802250135701</v>
      </c>
      <c r="AI22" s="17">
        <v>24.333045416045898</v>
      </c>
      <c r="AJ22" s="17">
        <v>24.333045416045898</v>
      </c>
      <c r="AK22" s="17">
        <v>24.333045416045898</v>
      </c>
      <c r="AL22" s="17">
        <v>1.00291669368744E-2</v>
      </c>
      <c r="AM22" s="17">
        <v>28.7560980000999</v>
      </c>
      <c r="AN22" s="17" t="s">
        <v>81</v>
      </c>
      <c r="AO22" s="17" t="s">
        <v>598</v>
      </c>
      <c r="AP22" s="17" t="s">
        <v>599</v>
      </c>
      <c r="AQ22" s="17" t="s">
        <v>110</v>
      </c>
      <c r="AR22" s="17" t="s">
        <v>111</v>
      </c>
      <c r="AS22" s="17" t="s">
        <v>111</v>
      </c>
      <c r="AT22" s="17" t="s">
        <v>600</v>
      </c>
      <c r="AU22" s="17" t="s">
        <v>113</v>
      </c>
      <c r="AV22" s="16"/>
      <c r="AW22" s="16"/>
      <c r="AX22" s="16"/>
      <c r="AY22" s="16"/>
      <c r="AZ22" s="17" t="s">
        <v>595</v>
      </c>
      <c r="BA22" s="17">
        <v>1</v>
      </c>
      <c r="BB22" s="17" t="s">
        <v>596</v>
      </c>
      <c r="BC22" s="17" t="s">
        <v>61</v>
      </c>
      <c r="BD22" s="16"/>
      <c r="BE22" s="17" t="s">
        <v>62</v>
      </c>
      <c r="BF22" s="17" t="s">
        <v>172</v>
      </c>
      <c r="BG22" s="17" t="s">
        <v>597</v>
      </c>
      <c r="BH22" s="16"/>
    </row>
    <row r="23" spans="1:60" ht="56" x14ac:dyDescent="0.15">
      <c r="A23" s="16"/>
      <c r="B23" s="17">
        <v>1</v>
      </c>
      <c r="C23" s="17">
        <v>1</v>
      </c>
      <c r="D23" s="17">
        <v>0</v>
      </c>
      <c r="E23" s="16"/>
      <c r="F23" s="16"/>
      <c r="G23" s="17" t="s">
        <v>125</v>
      </c>
      <c r="H23" s="17" t="s">
        <v>65</v>
      </c>
      <c r="I23" s="17" t="s">
        <v>84</v>
      </c>
      <c r="J23" s="17" t="s">
        <v>65</v>
      </c>
      <c r="K23" s="17" t="s">
        <v>498</v>
      </c>
      <c r="L23" s="17" t="s">
        <v>241</v>
      </c>
      <c r="M23" s="17" t="s">
        <v>87</v>
      </c>
      <c r="N23" s="17" t="s">
        <v>88</v>
      </c>
      <c r="O23" s="17" t="s">
        <v>88</v>
      </c>
      <c r="P23" s="17" t="s">
        <v>601</v>
      </c>
      <c r="Q23" s="17" t="s">
        <v>90</v>
      </c>
      <c r="R23" s="16"/>
      <c r="S23" s="16"/>
      <c r="T23" s="16"/>
      <c r="U23" s="16"/>
      <c r="V23" s="17">
        <v>0</v>
      </c>
      <c r="W23" s="17">
        <v>1</v>
      </c>
      <c r="X23" s="17">
        <v>1</v>
      </c>
      <c r="Y23" s="17">
        <v>11</v>
      </c>
      <c r="Z23" s="17">
        <v>28.767428040970099</v>
      </c>
      <c r="AA23" s="16"/>
      <c r="AB23" s="16"/>
      <c r="AC23" s="16"/>
      <c r="AD23" s="16"/>
      <c r="AE23" s="16"/>
      <c r="AF23" s="16"/>
      <c r="AG23" s="16"/>
      <c r="AH23" s="17">
        <v>28.7581066249404</v>
      </c>
      <c r="AI23" s="17">
        <v>28.767428040970099</v>
      </c>
      <c r="AJ23" s="17">
        <v>28.767428040970099</v>
      </c>
      <c r="AK23" s="17">
        <v>28.767428040970099</v>
      </c>
      <c r="AL23" s="17">
        <v>1.8391669727861901E-3</v>
      </c>
      <c r="AM23" s="17">
        <v>32.390109375119202</v>
      </c>
      <c r="AN23" s="17" t="s">
        <v>65</v>
      </c>
      <c r="AO23" s="17" t="s">
        <v>498</v>
      </c>
      <c r="AP23" s="17" t="s">
        <v>241</v>
      </c>
      <c r="AQ23" s="17" t="s">
        <v>87</v>
      </c>
      <c r="AR23" s="17" t="s">
        <v>88</v>
      </c>
      <c r="AS23" s="17" t="s">
        <v>88</v>
      </c>
      <c r="AT23" s="17" t="s">
        <v>601</v>
      </c>
      <c r="AU23" s="17" t="s">
        <v>90</v>
      </c>
      <c r="AV23" s="16"/>
      <c r="AW23" s="16"/>
      <c r="AX23" s="16"/>
      <c r="AY23" s="16"/>
      <c r="AZ23" s="17" t="s">
        <v>595</v>
      </c>
      <c r="BA23" s="17">
        <v>1</v>
      </c>
      <c r="BB23" s="17" t="s">
        <v>596</v>
      </c>
      <c r="BC23" s="17" t="s">
        <v>61</v>
      </c>
      <c r="BD23" s="16"/>
      <c r="BE23" s="17" t="s">
        <v>62</v>
      </c>
      <c r="BF23" s="17" t="s">
        <v>172</v>
      </c>
      <c r="BG23" s="17" t="s">
        <v>597</v>
      </c>
      <c r="BH23" s="16"/>
    </row>
    <row r="24" spans="1:60" ht="56" x14ac:dyDescent="0.15">
      <c r="A24" s="16"/>
      <c r="B24" s="17">
        <v>2</v>
      </c>
      <c r="C24" s="17">
        <v>2</v>
      </c>
      <c r="D24" s="17">
        <v>0</v>
      </c>
      <c r="E24" s="16"/>
      <c r="F24" s="16"/>
      <c r="G24" s="17" t="s">
        <v>100</v>
      </c>
      <c r="H24" s="17" t="s">
        <v>68</v>
      </c>
      <c r="I24" s="17" t="s">
        <v>84</v>
      </c>
      <c r="J24" s="17" t="s">
        <v>68</v>
      </c>
      <c r="K24" s="17" t="s">
        <v>498</v>
      </c>
      <c r="L24" s="17" t="s">
        <v>241</v>
      </c>
      <c r="M24" s="17" t="s">
        <v>87</v>
      </c>
      <c r="N24" s="17" t="s">
        <v>88</v>
      </c>
      <c r="O24" s="17" t="s">
        <v>88</v>
      </c>
      <c r="P24" s="17" t="s">
        <v>602</v>
      </c>
      <c r="Q24" s="17" t="s">
        <v>90</v>
      </c>
      <c r="R24" s="16"/>
      <c r="S24" s="16"/>
      <c r="T24" s="16"/>
      <c r="U24" s="16"/>
      <c r="V24" s="17">
        <v>0</v>
      </c>
      <c r="W24" s="17">
        <v>2</v>
      </c>
      <c r="X24" s="17">
        <v>2</v>
      </c>
      <c r="Y24" s="17">
        <v>17</v>
      </c>
      <c r="Z24" s="17">
        <v>32.4017222910188</v>
      </c>
      <c r="AA24" s="16"/>
      <c r="AB24" s="16"/>
      <c r="AC24" s="16"/>
      <c r="AD24" s="16"/>
      <c r="AE24" s="16"/>
      <c r="AF24" s="16"/>
      <c r="AG24" s="16"/>
      <c r="AH24" s="17">
        <v>32.392767874989701</v>
      </c>
      <c r="AI24" s="17">
        <v>32.4017222910188</v>
      </c>
      <c r="AJ24" s="17">
        <v>32.4017222910188</v>
      </c>
      <c r="AK24" s="17">
        <v>32.4017222910188</v>
      </c>
      <c r="AL24" s="17">
        <v>2.5504159275442401E-3</v>
      </c>
      <c r="AM24" s="17">
        <v>35.405908457934899</v>
      </c>
      <c r="AN24" s="17" t="s">
        <v>68</v>
      </c>
      <c r="AO24" s="17" t="s">
        <v>498</v>
      </c>
      <c r="AP24" s="17" t="s">
        <v>241</v>
      </c>
      <c r="AQ24" s="17" t="s">
        <v>87</v>
      </c>
      <c r="AR24" s="17" t="s">
        <v>88</v>
      </c>
      <c r="AS24" s="17" t="s">
        <v>88</v>
      </c>
      <c r="AT24" s="17" t="s">
        <v>602</v>
      </c>
      <c r="AU24" s="17" t="s">
        <v>90</v>
      </c>
      <c r="AV24" s="16"/>
      <c r="AW24" s="16"/>
      <c r="AX24" s="16"/>
      <c r="AY24" s="16"/>
      <c r="AZ24" s="17" t="s">
        <v>595</v>
      </c>
      <c r="BA24" s="17">
        <v>1</v>
      </c>
      <c r="BB24" s="17" t="s">
        <v>596</v>
      </c>
      <c r="BC24" s="17" t="s">
        <v>61</v>
      </c>
      <c r="BD24" s="16"/>
      <c r="BE24" s="17" t="s">
        <v>62</v>
      </c>
      <c r="BF24" s="17" t="s">
        <v>172</v>
      </c>
      <c r="BG24" s="17" t="s">
        <v>597</v>
      </c>
      <c r="BH24" s="16"/>
    </row>
    <row r="25" spans="1:60" ht="56" x14ac:dyDescent="0.15">
      <c r="A25" s="16"/>
      <c r="B25" s="17">
        <v>3</v>
      </c>
      <c r="C25" s="17">
        <v>3</v>
      </c>
      <c r="D25" s="17">
        <v>0</v>
      </c>
      <c r="E25" s="16"/>
      <c r="F25" s="16"/>
      <c r="G25" s="22" t="s">
        <v>91</v>
      </c>
      <c r="H25" s="22" t="s">
        <v>71</v>
      </c>
      <c r="I25" s="22" t="s">
        <v>84</v>
      </c>
      <c r="J25" s="23"/>
      <c r="K25" s="17" t="s">
        <v>498</v>
      </c>
      <c r="L25" s="17" t="s">
        <v>241</v>
      </c>
      <c r="M25" s="17" t="s">
        <v>87</v>
      </c>
      <c r="N25" s="17" t="s">
        <v>88</v>
      </c>
      <c r="O25" s="17" t="s">
        <v>88</v>
      </c>
      <c r="P25" s="17" t="s">
        <v>603</v>
      </c>
      <c r="Q25" s="17" t="s">
        <v>90</v>
      </c>
      <c r="R25" s="16"/>
      <c r="S25" s="16"/>
      <c r="T25" s="16"/>
      <c r="U25" s="16"/>
      <c r="V25" s="17">
        <v>0</v>
      </c>
      <c r="W25" s="17">
        <v>3</v>
      </c>
      <c r="X25" s="17">
        <v>3</v>
      </c>
      <c r="Y25" s="17">
        <v>19</v>
      </c>
      <c r="Z25" s="17">
        <v>35.417809500126197</v>
      </c>
      <c r="AA25" s="16"/>
      <c r="AB25" s="16"/>
      <c r="AC25" s="16"/>
      <c r="AD25" s="16"/>
      <c r="AE25" s="16"/>
      <c r="AF25" s="16"/>
      <c r="AG25" s="16"/>
      <c r="AH25" s="17">
        <v>35.408295750152298</v>
      </c>
      <c r="AI25" s="17">
        <v>35.417809500126197</v>
      </c>
      <c r="AJ25" s="17">
        <v>35.417809500126197</v>
      </c>
      <c r="AK25" s="17">
        <v>35.417809500126197</v>
      </c>
      <c r="AL25" s="17">
        <v>2.2907080128789E-3</v>
      </c>
      <c r="AM25" s="17">
        <v>37.906022540992097</v>
      </c>
      <c r="AN25" s="16"/>
      <c r="AO25" s="17" t="s">
        <v>498</v>
      </c>
      <c r="AP25" s="17" t="s">
        <v>241</v>
      </c>
      <c r="AQ25" s="17" t="s">
        <v>87</v>
      </c>
      <c r="AR25" s="17" t="s">
        <v>88</v>
      </c>
      <c r="AS25" s="17" t="s">
        <v>88</v>
      </c>
      <c r="AT25" s="17" t="s">
        <v>603</v>
      </c>
      <c r="AU25" s="17" t="s">
        <v>90</v>
      </c>
      <c r="AV25" s="16"/>
      <c r="AW25" s="16"/>
      <c r="AX25" s="16"/>
      <c r="AY25" s="16"/>
      <c r="AZ25" s="17" t="s">
        <v>595</v>
      </c>
      <c r="BA25" s="17">
        <v>1</v>
      </c>
      <c r="BB25" s="17" t="s">
        <v>596</v>
      </c>
      <c r="BC25" s="17" t="s">
        <v>61</v>
      </c>
      <c r="BD25" s="16"/>
      <c r="BE25" s="17" t="s">
        <v>62</v>
      </c>
      <c r="BF25" s="17" t="s">
        <v>172</v>
      </c>
      <c r="BG25" s="17" t="s">
        <v>597</v>
      </c>
      <c r="BH25" s="16"/>
    </row>
    <row r="26" spans="1:60" ht="56" x14ac:dyDescent="0.15">
      <c r="A26" s="16"/>
      <c r="B26" s="17">
        <v>4</v>
      </c>
      <c r="C26" s="17">
        <v>4</v>
      </c>
      <c r="D26" s="17">
        <v>0</v>
      </c>
      <c r="E26" s="16"/>
      <c r="F26" s="16"/>
      <c r="G26" s="17" t="s">
        <v>133</v>
      </c>
      <c r="H26" s="17" t="s">
        <v>64</v>
      </c>
      <c r="I26" s="17" t="s">
        <v>84</v>
      </c>
      <c r="J26" s="17" t="s">
        <v>64</v>
      </c>
      <c r="K26" s="17" t="s">
        <v>498</v>
      </c>
      <c r="L26" s="17" t="s">
        <v>241</v>
      </c>
      <c r="M26" s="17" t="s">
        <v>87</v>
      </c>
      <c r="N26" s="17" t="s">
        <v>88</v>
      </c>
      <c r="O26" s="17" t="s">
        <v>88</v>
      </c>
      <c r="P26" s="17" t="s">
        <v>604</v>
      </c>
      <c r="Q26" s="17" t="s">
        <v>90</v>
      </c>
      <c r="R26" s="16"/>
      <c r="S26" s="16"/>
      <c r="T26" s="16"/>
      <c r="U26" s="16"/>
      <c r="V26" s="17">
        <v>0</v>
      </c>
      <c r="W26" s="17">
        <v>4</v>
      </c>
      <c r="X26" s="17">
        <v>4</v>
      </c>
      <c r="Y26" s="17">
        <v>18</v>
      </c>
      <c r="Z26" s="17">
        <v>37.916120999958402</v>
      </c>
      <c r="AA26" s="16"/>
      <c r="AB26" s="16"/>
      <c r="AC26" s="16"/>
      <c r="AD26" s="16"/>
      <c r="AE26" s="16"/>
      <c r="AF26" s="16"/>
      <c r="AG26" s="16"/>
      <c r="AH26" s="17">
        <v>37.908167875139</v>
      </c>
      <c r="AI26" s="17">
        <v>37.916120999958402</v>
      </c>
      <c r="AJ26" s="17">
        <v>37.916120999958402</v>
      </c>
      <c r="AK26" s="17">
        <v>37.916120999958402</v>
      </c>
      <c r="AL26" s="17">
        <v>2.05145799554884E-3</v>
      </c>
      <c r="AM26" s="17">
        <v>40.706062500132298</v>
      </c>
      <c r="AN26" s="17" t="s">
        <v>64</v>
      </c>
      <c r="AO26" s="17" t="s">
        <v>498</v>
      </c>
      <c r="AP26" s="17" t="s">
        <v>241</v>
      </c>
      <c r="AQ26" s="17" t="s">
        <v>87</v>
      </c>
      <c r="AR26" s="17" t="s">
        <v>88</v>
      </c>
      <c r="AS26" s="17" t="s">
        <v>88</v>
      </c>
      <c r="AT26" s="17" t="s">
        <v>604</v>
      </c>
      <c r="AU26" s="17" t="s">
        <v>90</v>
      </c>
      <c r="AV26" s="16"/>
      <c r="AW26" s="16"/>
      <c r="AX26" s="16"/>
      <c r="AY26" s="16"/>
      <c r="AZ26" s="17" t="s">
        <v>595</v>
      </c>
      <c r="BA26" s="17">
        <v>1</v>
      </c>
      <c r="BB26" s="17" t="s">
        <v>596</v>
      </c>
      <c r="BC26" s="17" t="s">
        <v>61</v>
      </c>
      <c r="BD26" s="16"/>
      <c r="BE26" s="17" t="s">
        <v>62</v>
      </c>
      <c r="BF26" s="17" t="s">
        <v>172</v>
      </c>
      <c r="BG26" s="17" t="s">
        <v>597</v>
      </c>
      <c r="BH26" s="16"/>
    </row>
    <row r="27" spans="1:60" ht="56" x14ac:dyDescent="0.15">
      <c r="A27" s="16"/>
      <c r="B27" s="17">
        <v>5</v>
      </c>
      <c r="C27" s="17">
        <v>5</v>
      </c>
      <c r="D27" s="17">
        <v>0</v>
      </c>
      <c r="E27" s="16"/>
      <c r="F27" s="16"/>
      <c r="G27" s="17" t="s">
        <v>131</v>
      </c>
      <c r="H27" s="17" t="s">
        <v>76</v>
      </c>
      <c r="I27" s="17" t="s">
        <v>84</v>
      </c>
      <c r="J27" s="17" t="s">
        <v>76</v>
      </c>
      <c r="K27" s="17" t="s">
        <v>498</v>
      </c>
      <c r="L27" s="17" t="s">
        <v>241</v>
      </c>
      <c r="M27" s="17" t="s">
        <v>87</v>
      </c>
      <c r="N27" s="17" t="s">
        <v>88</v>
      </c>
      <c r="O27" s="17" t="s">
        <v>88</v>
      </c>
      <c r="P27" s="17" t="s">
        <v>605</v>
      </c>
      <c r="Q27" s="17" t="s">
        <v>90</v>
      </c>
      <c r="R27" s="16"/>
      <c r="S27" s="16"/>
      <c r="T27" s="16"/>
      <c r="U27" s="16"/>
      <c r="V27" s="17">
        <v>0</v>
      </c>
      <c r="W27" s="17">
        <v>5</v>
      </c>
      <c r="X27" s="17">
        <v>5</v>
      </c>
      <c r="Y27" s="17">
        <v>6</v>
      </c>
      <c r="Z27" s="17">
        <v>40.717934624990498</v>
      </c>
      <c r="AA27" s="16"/>
      <c r="AB27" s="16"/>
      <c r="AC27" s="16"/>
      <c r="AD27" s="16"/>
      <c r="AE27" s="16"/>
      <c r="AF27" s="16"/>
      <c r="AG27" s="16"/>
      <c r="AH27" s="17">
        <v>40.708756749983898</v>
      </c>
      <c r="AI27" s="17">
        <v>40.717934624990498</v>
      </c>
      <c r="AJ27" s="17">
        <v>40.717934624990498</v>
      </c>
      <c r="AK27" s="17">
        <v>40.717934624990498</v>
      </c>
      <c r="AL27" s="17">
        <v>2.5850839447230101E-3</v>
      </c>
      <c r="AM27" s="17">
        <v>46.873355624964503</v>
      </c>
      <c r="AN27" s="17" t="s">
        <v>76</v>
      </c>
      <c r="AO27" s="17" t="s">
        <v>498</v>
      </c>
      <c r="AP27" s="17" t="s">
        <v>241</v>
      </c>
      <c r="AQ27" s="17" t="s">
        <v>87</v>
      </c>
      <c r="AR27" s="17" t="s">
        <v>88</v>
      </c>
      <c r="AS27" s="17" t="s">
        <v>88</v>
      </c>
      <c r="AT27" s="17" t="s">
        <v>605</v>
      </c>
      <c r="AU27" s="17" t="s">
        <v>90</v>
      </c>
      <c r="AV27" s="16"/>
      <c r="AW27" s="16"/>
      <c r="AX27" s="16"/>
      <c r="AY27" s="16"/>
      <c r="AZ27" s="17" t="s">
        <v>595</v>
      </c>
      <c r="BA27" s="17">
        <v>1</v>
      </c>
      <c r="BB27" s="17" t="s">
        <v>596</v>
      </c>
      <c r="BC27" s="17" t="s">
        <v>61</v>
      </c>
      <c r="BD27" s="16"/>
      <c r="BE27" s="17" t="s">
        <v>62</v>
      </c>
      <c r="BF27" s="17" t="s">
        <v>172</v>
      </c>
      <c r="BG27" s="17" t="s">
        <v>597</v>
      </c>
      <c r="BH27" s="16"/>
    </row>
    <row r="28" spans="1:60" ht="56" x14ac:dyDescent="0.15">
      <c r="A28" s="16"/>
      <c r="B28" s="17">
        <v>6</v>
      </c>
      <c r="C28" s="17">
        <v>6</v>
      </c>
      <c r="D28" s="17">
        <v>0</v>
      </c>
      <c r="E28" s="16"/>
      <c r="F28" s="16"/>
      <c r="G28" s="22" t="s">
        <v>148</v>
      </c>
      <c r="H28" s="22" t="s">
        <v>74</v>
      </c>
      <c r="I28" s="22" t="s">
        <v>84</v>
      </c>
      <c r="J28" s="22" t="s">
        <v>380</v>
      </c>
      <c r="K28" s="17" t="s">
        <v>606</v>
      </c>
      <c r="L28" s="17" t="s">
        <v>607</v>
      </c>
      <c r="M28" s="17" t="s">
        <v>87</v>
      </c>
      <c r="N28" s="17" t="s">
        <v>88</v>
      </c>
      <c r="O28" s="17" t="s">
        <v>88</v>
      </c>
      <c r="P28" s="17" t="s">
        <v>608</v>
      </c>
      <c r="Q28" s="17" t="s">
        <v>303</v>
      </c>
      <c r="R28" s="16"/>
      <c r="S28" s="16"/>
      <c r="T28" s="16"/>
      <c r="U28" s="16"/>
      <c r="V28" s="17">
        <v>0</v>
      </c>
      <c r="W28" s="17">
        <v>6</v>
      </c>
      <c r="X28" s="17">
        <v>6</v>
      </c>
      <c r="Y28" s="17">
        <v>13</v>
      </c>
      <c r="Z28" s="17">
        <v>46.885009000077801</v>
      </c>
      <c r="AA28" s="16"/>
      <c r="AB28" s="16"/>
      <c r="AC28" s="16"/>
      <c r="AD28" s="16"/>
      <c r="AE28" s="16"/>
      <c r="AF28" s="16"/>
      <c r="AG28" s="16"/>
      <c r="AH28" s="17">
        <v>46.875604375032701</v>
      </c>
      <c r="AI28" s="17">
        <v>46.885009000077801</v>
      </c>
      <c r="AJ28" s="17">
        <v>46.885009000077801</v>
      </c>
      <c r="AK28" s="17">
        <v>46.885009000077801</v>
      </c>
      <c r="AL28" s="17">
        <v>2.14883405715227E-3</v>
      </c>
      <c r="AM28" s="17">
        <v>56.871468666009598</v>
      </c>
      <c r="AN28" s="17" t="s">
        <v>380</v>
      </c>
      <c r="AO28" s="17" t="s">
        <v>606</v>
      </c>
      <c r="AP28" s="17" t="s">
        <v>607</v>
      </c>
      <c r="AQ28" s="17" t="s">
        <v>87</v>
      </c>
      <c r="AR28" s="17" t="s">
        <v>88</v>
      </c>
      <c r="AS28" s="17" t="s">
        <v>88</v>
      </c>
      <c r="AT28" s="17" t="s">
        <v>608</v>
      </c>
      <c r="AU28" s="17" t="s">
        <v>303</v>
      </c>
      <c r="AV28" s="17">
        <v>56.883587500080502</v>
      </c>
      <c r="AW28" s="17">
        <v>56.883587500080502</v>
      </c>
      <c r="AX28" s="17">
        <v>56.883587500080502</v>
      </c>
      <c r="AY28" s="17">
        <v>9.9978237499017304</v>
      </c>
      <c r="AZ28" s="17" t="s">
        <v>595</v>
      </c>
      <c r="BA28" s="17">
        <v>1</v>
      </c>
      <c r="BB28" s="17" t="s">
        <v>596</v>
      </c>
      <c r="BC28" s="17" t="s">
        <v>61</v>
      </c>
      <c r="BD28" s="16"/>
      <c r="BE28" s="17" t="s">
        <v>62</v>
      </c>
      <c r="BF28" s="17" t="s">
        <v>172</v>
      </c>
      <c r="BG28" s="17" t="s">
        <v>597</v>
      </c>
      <c r="BH28" s="16"/>
    </row>
    <row r="29" spans="1:60" ht="56" x14ac:dyDescent="0.15">
      <c r="A29" s="16"/>
      <c r="B29" s="17">
        <v>7</v>
      </c>
      <c r="C29" s="17">
        <v>7</v>
      </c>
      <c r="D29" s="17">
        <v>0</v>
      </c>
      <c r="E29" s="16"/>
      <c r="F29" s="16"/>
      <c r="G29" s="22" t="s">
        <v>160</v>
      </c>
      <c r="H29" s="22" t="s">
        <v>79</v>
      </c>
      <c r="I29" s="22" t="s">
        <v>84</v>
      </c>
      <c r="J29" s="23"/>
      <c r="K29" s="17" t="s">
        <v>609</v>
      </c>
      <c r="L29" s="17" t="s">
        <v>150</v>
      </c>
      <c r="M29" s="17" t="s">
        <v>87</v>
      </c>
      <c r="N29" s="17" t="s">
        <v>88</v>
      </c>
      <c r="O29" s="17" t="s">
        <v>88</v>
      </c>
      <c r="P29" s="17" t="s">
        <v>610</v>
      </c>
      <c r="Q29" s="17" t="s">
        <v>90</v>
      </c>
      <c r="R29" s="16"/>
      <c r="S29" s="16"/>
      <c r="T29" s="16"/>
      <c r="U29" s="16"/>
      <c r="V29" s="17">
        <v>0</v>
      </c>
      <c r="W29" s="17">
        <v>7</v>
      </c>
      <c r="X29" s="17">
        <v>7</v>
      </c>
      <c r="Y29" s="17">
        <v>3</v>
      </c>
      <c r="Z29" s="17">
        <v>56.883587500080502</v>
      </c>
      <c r="AA29" s="16"/>
      <c r="AB29" s="16"/>
      <c r="AC29" s="16"/>
      <c r="AD29" s="16"/>
      <c r="AE29" s="16"/>
      <c r="AF29" s="16"/>
      <c r="AG29" s="16"/>
      <c r="AH29" s="17">
        <v>56.873549625044703</v>
      </c>
      <c r="AI29" s="17">
        <v>56.883587500080502</v>
      </c>
      <c r="AJ29" s="17">
        <v>56.883587500080502</v>
      </c>
      <c r="AK29" s="17">
        <v>56.883587500080502</v>
      </c>
      <c r="AL29" s="18">
        <v>9.5583964139223099E-5</v>
      </c>
      <c r="AM29" s="17">
        <v>56.8847737910692</v>
      </c>
      <c r="AN29" s="16"/>
      <c r="AO29" s="17" t="s">
        <v>609</v>
      </c>
      <c r="AP29" s="17" t="s">
        <v>150</v>
      </c>
      <c r="AQ29" s="17" t="s">
        <v>87</v>
      </c>
      <c r="AR29" s="17" t="s">
        <v>88</v>
      </c>
      <c r="AS29" s="17" t="s">
        <v>88</v>
      </c>
      <c r="AT29" s="17" t="s">
        <v>610</v>
      </c>
      <c r="AU29" s="17" t="s">
        <v>90</v>
      </c>
      <c r="AV29" s="16"/>
      <c r="AW29" s="16"/>
      <c r="AX29" s="16"/>
      <c r="AY29" s="16"/>
      <c r="AZ29" s="17" t="s">
        <v>595</v>
      </c>
      <c r="BA29" s="17">
        <v>1</v>
      </c>
      <c r="BB29" s="17" t="s">
        <v>596</v>
      </c>
      <c r="BC29" s="17" t="s">
        <v>61</v>
      </c>
      <c r="BD29" s="16"/>
      <c r="BE29" s="17" t="s">
        <v>62</v>
      </c>
      <c r="BF29" s="17" t="s">
        <v>172</v>
      </c>
      <c r="BG29" s="17" t="s">
        <v>597</v>
      </c>
      <c r="BH29" s="16"/>
    </row>
    <row r="30" spans="1:60" ht="56" x14ac:dyDescent="0.15">
      <c r="A30" s="16"/>
      <c r="B30" s="17">
        <v>8</v>
      </c>
      <c r="C30" s="17">
        <v>8</v>
      </c>
      <c r="D30" s="17">
        <v>0</v>
      </c>
      <c r="E30" s="16"/>
      <c r="F30" s="16"/>
      <c r="G30" s="17" t="s">
        <v>120</v>
      </c>
      <c r="H30" s="17" t="s">
        <v>121</v>
      </c>
      <c r="I30" s="17" t="s">
        <v>96</v>
      </c>
      <c r="J30" s="17" t="s">
        <v>121</v>
      </c>
      <c r="K30" s="17" t="s">
        <v>611</v>
      </c>
      <c r="L30" s="17" t="s">
        <v>320</v>
      </c>
      <c r="M30" s="17" t="s">
        <v>87</v>
      </c>
      <c r="N30" s="17" t="s">
        <v>88</v>
      </c>
      <c r="O30" s="17" t="s">
        <v>88</v>
      </c>
      <c r="P30" s="17" t="s">
        <v>612</v>
      </c>
      <c r="Q30" s="17" t="s">
        <v>90</v>
      </c>
      <c r="R30" s="16"/>
      <c r="S30" s="16"/>
      <c r="T30" s="16"/>
      <c r="U30" s="16"/>
      <c r="V30" s="17">
        <v>0</v>
      </c>
      <c r="W30" s="17">
        <v>8</v>
      </c>
      <c r="X30" s="17">
        <v>8</v>
      </c>
      <c r="Y30" s="17">
        <v>24</v>
      </c>
      <c r="Z30" s="17">
        <v>56.898398207966203</v>
      </c>
      <c r="AA30" s="16"/>
      <c r="AB30" s="16"/>
      <c r="AC30" s="16"/>
      <c r="AD30" s="16"/>
      <c r="AE30" s="16"/>
      <c r="AF30" s="16"/>
      <c r="AG30" s="16"/>
      <c r="AH30" s="17">
        <v>56.886404625140102</v>
      </c>
      <c r="AI30" s="17">
        <v>56.898398207966203</v>
      </c>
      <c r="AJ30" s="17">
        <v>56.898398207966203</v>
      </c>
      <c r="AK30" s="17">
        <v>56.898398207966203</v>
      </c>
      <c r="AL30" s="17">
        <v>1.55675015412271E-3</v>
      </c>
      <c r="AM30" s="17">
        <v>61.622974916128399</v>
      </c>
      <c r="AN30" s="17" t="s">
        <v>121</v>
      </c>
      <c r="AO30" s="17" t="s">
        <v>611</v>
      </c>
      <c r="AP30" s="17" t="s">
        <v>320</v>
      </c>
      <c r="AQ30" s="17" t="s">
        <v>87</v>
      </c>
      <c r="AR30" s="17" t="s">
        <v>88</v>
      </c>
      <c r="AS30" s="17" t="s">
        <v>88</v>
      </c>
      <c r="AT30" s="17" t="s">
        <v>612</v>
      </c>
      <c r="AU30" s="17" t="s">
        <v>90</v>
      </c>
      <c r="AV30" s="16"/>
      <c r="AW30" s="16"/>
      <c r="AX30" s="16"/>
      <c r="AY30" s="16"/>
      <c r="AZ30" s="17" t="s">
        <v>595</v>
      </c>
      <c r="BA30" s="17">
        <v>1</v>
      </c>
      <c r="BB30" s="17" t="s">
        <v>596</v>
      </c>
      <c r="BC30" s="17" t="s">
        <v>61</v>
      </c>
      <c r="BD30" s="16"/>
      <c r="BE30" s="17" t="s">
        <v>62</v>
      </c>
      <c r="BF30" s="17" t="s">
        <v>172</v>
      </c>
      <c r="BG30" s="17" t="s">
        <v>597</v>
      </c>
      <c r="BH30" s="16"/>
    </row>
    <row r="31" spans="1:60" ht="56" x14ac:dyDescent="0.15">
      <c r="A31" s="16"/>
      <c r="B31" s="17">
        <v>9</v>
      </c>
      <c r="C31" s="17">
        <v>9</v>
      </c>
      <c r="D31" s="17">
        <v>0</v>
      </c>
      <c r="E31" s="16"/>
      <c r="F31" s="16"/>
      <c r="G31" s="17" t="s">
        <v>167</v>
      </c>
      <c r="H31" s="17" t="s">
        <v>59</v>
      </c>
      <c r="I31" s="17" t="s">
        <v>84</v>
      </c>
      <c r="J31" s="17" t="s">
        <v>59</v>
      </c>
      <c r="K31" s="17" t="s">
        <v>611</v>
      </c>
      <c r="L31" s="17" t="s">
        <v>320</v>
      </c>
      <c r="M31" s="17" t="s">
        <v>87</v>
      </c>
      <c r="N31" s="17" t="s">
        <v>88</v>
      </c>
      <c r="O31" s="17" t="s">
        <v>88</v>
      </c>
      <c r="P31" s="17" t="s">
        <v>613</v>
      </c>
      <c r="Q31" s="17" t="s">
        <v>90</v>
      </c>
      <c r="R31" s="16"/>
      <c r="S31" s="16"/>
      <c r="T31" s="16"/>
      <c r="U31" s="16"/>
      <c r="V31" s="17">
        <v>0</v>
      </c>
      <c r="W31" s="17">
        <v>9</v>
      </c>
      <c r="X31" s="17">
        <v>9</v>
      </c>
      <c r="Y31" s="17">
        <v>12</v>
      </c>
      <c r="Z31" s="17">
        <v>61.634517166065102</v>
      </c>
      <c r="AA31" s="16"/>
      <c r="AB31" s="16"/>
      <c r="AC31" s="16"/>
      <c r="AD31" s="16"/>
      <c r="AE31" s="16"/>
      <c r="AF31" s="16"/>
      <c r="AG31" s="16"/>
      <c r="AH31" s="17">
        <v>61.625349125126398</v>
      </c>
      <c r="AI31" s="17">
        <v>61.634517166065102</v>
      </c>
      <c r="AJ31" s="17">
        <v>61.634517166065102</v>
      </c>
      <c r="AK31" s="17">
        <v>61.634517166065102</v>
      </c>
      <c r="AL31" s="17">
        <v>2.2812501993030301E-3</v>
      </c>
      <c r="AM31" s="17">
        <v>66.423625166062294</v>
      </c>
      <c r="AN31" s="17" t="s">
        <v>59</v>
      </c>
      <c r="AO31" s="17" t="s">
        <v>611</v>
      </c>
      <c r="AP31" s="17" t="s">
        <v>320</v>
      </c>
      <c r="AQ31" s="17" t="s">
        <v>87</v>
      </c>
      <c r="AR31" s="17" t="s">
        <v>88</v>
      </c>
      <c r="AS31" s="17" t="s">
        <v>88</v>
      </c>
      <c r="AT31" s="17" t="s">
        <v>613</v>
      </c>
      <c r="AU31" s="17" t="s">
        <v>90</v>
      </c>
      <c r="AV31" s="16"/>
      <c r="AW31" s="16"/>
      <c r="AX31" s="16"/>
      <c r="AY31" s="16"/>
      <c r="AZ31" s="17" t="s">
        <v>595</v>
      </c>
      <c r="BA31" s="17">
        <v>1</v>
      </c>
      <c r="BB31" s="17" t="s">
        <v>596</v>
      </c>
      <c r="BC31" s="17" t="s">
        <v>61</v>
      </c>
      <c r="BD31" s="16"/>
      <c r="BE31" s="17" t="s">
        <v>62</v>
      </c>
      <c r="BF31" s="17" t="s">
        <v>172</v>
      </c>
      <c r="BG31" s="17" t="s">
        <v>597</v>
      </c>
      <c r="BH31" s="16"/>
    </row>
    <row r="32" spans="1:60" ht="56" x14ac:dyDescent="0.15">
      <c r="A32" s="16"/>
      <c r="B32" s="17">
        <v>10</v>
      </c>
      <c r="C32" s="17">
        <v>10</v>
      </c>
      <c r="D32" s="17">
        <v>0</v>
      </c>
      <c r="E32" s="16"/>
      <c r="F32" s="16"/>
      <c r="G32" s="17" t="s">
        <v>123</v>
      </c>
      <c r="H32" s="17" t="s">
        <v>78</v>
      </c>
      <c r="I32" s="17" t="s">
        <v>84</v>
      </c>
      <c r="J32" s="17" t="s">
        <v>78</v>
      </c>
      <c r="K32" s="17" t="s">
        <v>611</v>
      </c>
      <c r="L32" s="17" t="s">
        <v>320</v>
      </c>
      <c r="M32" s="17" t="s">
        <v>87</v>
      </c>
      <c r="N32" s="17" t="s">
        <v>88</v>
      </c>
      <c r="O32" s="17" t="s">
        <v>88</v>
      </c>
      <c r="P32" s="17" t="s">
        <v>614</v>
      </c>
      <c r="Q32" s="17" t="s">
        <v>90</v>
      </c>
      <c r="R32" s="16"/>
      <c r="S32" s="16"/>
      <c r="T32" s="16"/>
      <c r="U32" s="16"/>
      <c r="V32" s="17">
        <v>0</v>
      </c>
      <c r="W32" s="17">
        <v>10</v>
      </c>
      <c r="X32" s="17">
        <v>10</v>
      </c>
      <c r="Y32" s="17">
        <v>5</v>
      </c>
      <c r="Z32" s="17">
        <v>66.435148457996604</v>
      </c>
      <c r="AA32" s="16"/>
      <c r="AB32" s="16"/>
      <c r="AC32" s="16"/>
      <c r="AD32" s="16"/>
      <c r="AE32" s="16"/>
      <c r="AF32" s="16"/>
      <c r="AG32" s="16"/>
      <c r="AH32" s="17">
        <v>66.425920750014498</v>
      </c>
      <c r="AI32" s="17">
        <v>66.435148457996604</v>
      </c>
      <c r="AJ32" s="17">
        <v>66.435148457996604</v>
      </c>
      <c r="AK32" s="17">
        <v>66.435148457996604</v>
      </c>
      <c r="AL32" s="17">
        <v>2.1964998450130198E-3</v>
      </c>
      <c r="AM32" s="17">
        <v>68.540035790996598</v>
      </c>
      <c r="AN32" s="17" t="s">
        <v>78</v>
      </c>
      <c r="AO32" s="17" t="s">
        <v>611</v>
      </c>
      <c r="AP32" s="17" t="s">
        <v>320</v>
      </c>
      <c r="AQ32" s="17" t="s">
        <v>87</v>
      </c>
      <c r="AR32" s="17" t="s">
        <v>88</v>
      </c>
      <c r="AS32" s="17" t="s">
        <v>88</v>
      </c>
      <c r="AT32" s="17" t="s">
        <v>614</v>
      </c>
      <c r="AU32" s="17" t="s">
        <v>90</v>
      </c>
      <c r="AV32" s="16"/>
      <c r="AW32" s="16"/>
      <c r="AX32" s="16"/>
      <c r="AY32" s="16"/>
      <c r="AZ32" s="17" t="s">
        <v>595</v>
      </c>
      <c r="BA32" s="17">
        <v>1</v>
      </c>
      <c r="BB32" s="17" t="s">
        <v>596</v>
      </c>
      <c r="BC32" s="17" t="s">
        <v>61</v>
      </c>
      <c r="BD32" s="16"/>
      <c r="BE32" s="17" t="s">
        <v>62</v>
      </c>
      <c r="BF32" s="17" t="s">
        <v>172</v>
      </c>
      <c r="BG32" s="17" t="s">
        <v>597</v>
      </c>
      <c r="BH32" s="16"/>
    </row>
    <row r="33" spans="1:60" ht="56" x14ac:dyDescent="0.15">
      <c r="A33" s="16"/>
      <c r="B33" s="17">
        <v>11</v>
      </c>
      <c r="C33" s="17">
        <v>11</v>
      </c>
      <c r="D33" s="17">
        <v>0</v>
      </c>
      <c r="E33" s="16"/>
      <c r="F33" s="16"/>
      <c r="G33" s="17" t="s">
        <v>136</v>
      </c>
      <c r="H33" s="17" t="s">
        <v>69</v>
      </c>
      <c r="I33" s="17" t="s">
        <v>84</v>
      </c>
      <c r="J33" s="17" t="s">
        <v>69</v>
      </c>
      <c r="K33" s="17" t="s">
        <v>611</v>
      </c>
      <c r="L33" s="17" t="s">
        <v>320</v>
      </c>
      <c r="M33" s="17" t="s">
        <v>87</v>
      </c>
      <c r="N33" s="17" t="s">
        <v>88</v>
      </c>
      <c r="O33" s="17" t="s">
        <v>88</v>
      </c>
      <c r="P33" s="17" t="s">
        <v>615</v>
      </c>
      <c r="Q33" s="17" t="s">
        <v>90</v>
      </c>
      <c r="R33" s="16"/>
      <c r="S33" s="16"/>
      <c r="T33" s="16"/>
      <c r="U33" s="16"/>
      <c r="V33" s="17">
        <v>0</v>
      </c>
      <c r="W33" s="17">
        <v>11</v>
      </c>
      <c r="X33" s="17">
        <v>11</v>
      </c>
      <c r="Y33" s="17">
        <v>8</v>
      </c>
      <c r="Z33" s="17">
        <v>68.551860625157104</v>
      </c>
      <c r="AA33" s="16"/>
      <c r="AB33" s="16"/>
      <c r="AC33" s="16"/>
      <c r="AD33" s="16"/>
      <c r="AE33" s="16"/>
      <c r="AF33" s="16"/>
      <c r="AG33" s="16"/>
      <c r="AH33" s="17">
        <v>68.542455082992106</v>
      </c>
      <c r="AI33" s="17">
        <v>68.551860625157104</v>
      </c>
      <c r="AJ33" s="17">
        <v>68.551860625157104</v>
      </c>
      <c r="AK33" s="17">
        <v>68.551860625157104</v>
      </c>
      <c r="AL33" s="17">
        <v>2.3298750165849898E-3</v>
      </c>
      <c r="AM33" s="17">
        <v>72.741994125070093</v>
      </c>
      <c r="AN33" s="17" t="s">
        <v>69</v>
      </c>
      <c r="AO33" s="17" t="s">
        <v>611</v>
      </c>
      <c r="AP33" s="17" t="s">
        <v>320</v>
      </c>
      <c r="AQ33" s="17" t="s">
        <v>87</v>
      </c>
      <c r="AR33" s="17" t="s">
        <v>88</v>
      </c>
      <c r="AS33" s="17" t="s">
        <v>88</v>
      </c>
      <c r="AT33" s="17" t="s">
        <v>615</v>
      </c>
      <c r="AU33" s="17" t="s">
        <v>90</v>
      </c>
      <c r="AV33" s="16"/>
      <c r="AW33" s="16"/>
      <c r="AX33" s="16"/>
      <c r="AY33" s="16"/>
      <c r="AZ33" s="17" t="s">
        <v>595</v>
      </c>
      <c r="BA33" s="17">
        <v>1</v>
      </c>
      <c r="BB33" s="17" t="s">
        <v>596</v>
      </c>
      <c r="BC33" s="17" t="s">
        <v>61</v>
      </c>
      <c r="BD33" s="16"/>
      <c r="BE33" s="17" t="s">
        <v>62</v>
      </c>
      <c r="BF33" s="17" t="s">
        <v>172</v>
      </c>
      <c r="BG33" s="17" t="s">
        <v>597</v>
      </c>
      <c r="BH33" s="16"/>
    </row>
    <row r="34" spans="1:60" ht="56" x14ac:dyDescent="0.15">
      <c r="A34" s="16"/>
      <c r="B34" s="17">
        <v>12</v>
      </c>
      <c r="C34" s="17">
        <v>12</v>
      </c>
      <c r="D34" s="17">
        <v>0</v>
      </c>
      <c r="E34" s="16"/>
      <c r="F34" s="16"/>
      <c r="G34" s="17" t="s">
        <v>129</v>
      </c>
      <c r="H34" s="17" t="s">
        <v>72</v>
      </c>
      <c r="I34" s="17" t="s">
        <v>84</v>
      </c>
      <c r="J34" s="17" t="s">
        <v>72</v>
      </c>
      <c r="K34" s="17" t="s">
        <v>611</v>
      </c>
      <c r="L34" s="17" t="s">
        <v>116</v>
      </c>
      <c r="M34" s="17" t="s">
        <v>87</v>
      </c>
      <c r="N34" s="17" t="s">
        <v>88</v>
      </c>
      <c r="O34" s="17" t="s">
        <v>88</v>
      </c>
      <c r="P34" s="17" t="s">
        <v>616</v>
      </c>
      <c r="Q34" s="17" t="s">
        <v>90</v>
      </c>
      <c r="R34" s="16"/>
      <c r="S34" s="16"/>
      <c r="T34" s="16"/>
      <c r="U34" s="16"/>
      <c r="V34" s="17">
        <v>0</v>
      </c>
      <c r="W34" s="17">
        <v>12</v>
      </c>
      <c r="X34" s="17">
        <v>12</v>
      </c>
      <c r="Y34" s="17">
        <v>0</v>
      </c>
      <c r="Z34" s="17">
        <v>72.752483624964995</v>
      </c>
      <c r="AA34" s="16"/>
      <c r="AB34" s="16"/>
      <c r="AC34" s="16"/>
      <c r="AD34" s="16"/>
      <c r="AE34" s="16"/>
      <c r="AF34" s="16"/>
      <c r="AG34" s="16"/>
      <c r="AH34" s="17">
        <v>72.743892375146999</v>
      </c>
      <c r="AI34" s="17">
        <v>72.752483624964995</v>
      </c>
      <c r="AJ34" s="17">
        <v>72.752483624964995</v>
      </c>
      <c r="AK34" s="17">
        <v>72.752483624964995</v>
      </c>
      <c r="AL34" s="17">
        <v>1.8035408575087801E-3</v>
      </c>
      <c r="AM34" s="17">
        <v>74.839970875065802</v>
      </c>
      <c r="AN34" s="17" t="s">
        <v>72</v>
      </c>
      <c r="AO34" s="17" t="s">
        <v>611</v>
      </c>
      <c r="AP34" s="17" t="s">
        <v>116</v>
      </c>
      <c r="AQ34" s="17" t="s">
        <v>87</v>
      </c>
      <c r="AR34" s="17" t="s">
        <v>88</v>
      </c>
      <c r="AS34" s="17" t="s">
        <v>88</v>
      </c>
      <c r="AT34" s="17" t="s">
        <v>616</v>
      </c>
      <c r="AU34" s="17" t="s">
        <v>90</v>
      </c>
      <c r="AV34" s="16"/>
      <c r="AW34" s="16"/>
      <c r="AX34" s="16"/>
      <c r="AY34" s="16"/>
      <c r="AZ34" s="17" t="s">
        <v>595</v>
      </c>
      <c r="BA34" s="17">
        <v>1</v>
      </c>
      <c r="BB34" s="17" t="s">
        <v>596</v>
      </c>
      <c r="BC34" s="17" t="s">
        <v>61</v>
      </c>
      <c r="BD34" s="16"/>
      <c r="BE34" s="17" t="s">
        <v>62</v>
      </c>
      <c r="BF34" s="17" t="s">
        <v>172</v>
      </c>
      <c r="BG34" s="17" t="s">
        <v>597</v>
      </c>
      <c r="BH34" s="16"/>
    </row>
    <row r="35" spans="1:60" ht="56" x14ac:dyDescent="0.15">
      <c r="A35" s="16"/>
      <c r="B35" s="17">
        <v>13</v>
      </c>
      <c r="C35" s="17">
        <v>13</v>
      </c>
      <c r="D35" s="17">
        <v>0</v>
      </c>
      <c r="E35" s="16"/>
      <c r="F35" s="16"/>
      <c r="G35" s="17" t="s">
        <v>104</v>
      </c>
      <c r="H35" s="17" t="s">
        <v>70</v>
      </c>
      <c r="I35" s="17" t="s">
        <v>84</v>
      </c>
      <c r="J35" s="17" t="s">
        <v>70</v>
      </c>
      <c r="K35" s="17" t="s">
        <v>611</v>
      </c>
      <c r="L35" s="17" t="s">
        <v>116</v>
      </c>
      <c r="M35" s="17" t="s">
        <v>87</v>
      </c>
      <c r="N35" s="17" t="s">
        <v>88</v>
      </c>
      <c r="O35" s="17" t="s">
        <v>88</v>
      </c>
      <c r="P35" s="17" t="s">
        <v>617</v>
      </c>
      <c r="Q35" s="17" t="s">
        <v>90</v>
      </c>
      <c r="R35" s="16"/>
      <c r="S35" s="16"/>
      <c r="T35" s="16"/>
      <c r="U35" s="16"/>
      <c r="V35" s="17">
        <v>0</v>
      </c>
      <c r="W35" s="17">
        <v>13</v>
      </c>
      <c r="X35" s="17">
        <v>13</v>
      </c>
      <c r="Y35" s="17">
        <v>2</v>
      </c>
      <c r="Z35" s="17">
        <v>74.851982250111206</v>
      </c>
      <c r="AA35" s="16"/>
      <c r="AB35" s="16"/>
      <c r="AC35" s="16"/>
      <c r="AD35" s="16"/>
      <c r="AE35" s="16"/>
      <c r="AF35" s="16"/>
      <c r="AG35" s="16"/>
      <c r="AH35" s="17">
        <v>74.842493165982901</v>
      </c>
      <c r="AI35" s="17">
        <v>74.851982250111206</v>
      </c>
      <c r="AJ35" s="17">
        <v>74.851982250111206</v>
      </c>
      <c r="AK35" s="17">
        <v>74.851982250111206</v>
      </c>
      <c r="AL35" s="17">
        <v>2.4292918387800498E-3</v>
      </c>
      <c r="AM35" s="17">
        <v>79.173338040942298</v>
      </c>
      <c r="AN35" s="17" t="s">
        <v>70</v>
      </c>
      <c r="AO35" s="17" t="s">
        <v>611</v>
      </c>
      <c r="AP35" s="17" t="s">
        <v>116</v>
      </c>
      <c r="AQ35" s="17" t="s">
        <v>87</v>
      </c>
      <c r="AR35" s="17" t="s">
        <v>88</v>
      </c>
      <c r="AS35" s="17" t="s">
        <v>88</v>
      </c>
      <c r="AT35" s="17" t="s">
        <v>617</v>
      </c>
      <c r="AU35" s="17" t="s">
        <v>90</v>
      </c>
      <c r="AV35" s="16"/>
      <c r="AW35" s="16"/>
      <c r="AX35" s="16"/>
      <c r="AY35" s="16"/>
      <c r="AZ35" s="17" t="s">
        <v>595</v>
      </c>
      <c r="BA35" s="17">
        <v>1</v>
      </c>
      <c r="BB35" s="17" t="s">
        <v>596</v>
      </c>
      <c r="BC35" s="17" t="s">
        <v>61</v>
      </c>
      <c r="BD35" s="16"/>
      <c r="BE35" s="17" t="s">
        <v>62</v>
      </c>
      <c r="BF35" s="17" t="s">
        <v>172</v>
      </c>
      <c r="BG35" s="17" t="s">
        <v>597</v>
      </c>
      <c r="BH35" s="16"/>
    </row>
    <row r="36" spans="1:60" ht="56" x14ac:dyDescent="0.15">
      <c r="A36" s="16"/>
      <c r="B36" s="17">
        <v>14</v>
      </c>
      <c r="C36" s="17">
        <v>14</v>
      </c>
      <c r="D36" s="17">
        <v>0</v>
      </c>
      <c r="E36" s="16"/>
      <c r="F36" s="16"/>
      <c r="G36" s="22" t="s">
        <v>152</v>
      </c>
      <c r="H36" s="22" t="s">
        <v>153</v>
      </c>
      <c r="I36" s="22" t="s">
        <v>96</v>
      </c>
      <c r="J36" s="23"/>
      <c r="K36" s="17" t="s">
        <v>611</v>
      </c>
      <c r="L36" s="17" t="s">
        <v>116</v>
      </c>
      <c r="M36" s="17" t="s">
        <v>87</v>
      </c>
      <c r="N36" s="17" t="s">
        <v>88</v>
      </c>
      <c r="O36" s="17" t="s">
        <v>88</v>
      </c>
      <c r="P36" s="17" t="s">
        <v>618</v>
      </c>
      <c r="Q36" s="17" t="s">
        <v>90</v>
      </c>
      <c r="R36" s="16"/>
      <c r="S36" s="16"/>
      <c r="T36" s="16"/>
      <c r="U36" s="16"/>
      <c r="V36" s="17">
        <v>0</v>
      </c>
      <c r="W36" s="17">
        <v>14</v>
      </c>
      <c r="X36" s="17">
        <v>14</v>
      </c>
      <c r="Y36" s="17">
        <v>20</v>
      </c>
      <c r="Z36" s="17">
        <v>79.184877833118705</v>
      </c>
      <c r="AA36" s="16"/>
      <c r="AB36" s="16"/>
      <c r="AC36" s="16"/>
      <c r="AD36" s="16"/>
      <c r="AE36" s="16"/>
      <c r="AF36" s="16"/>
      <c r="AG36" s="16"/>
      <c r="AH36" s="17">
        <v>79.175538958050296</v>
      </c>
      <c r="AI36" s="17">
        <v>79.184877833118705</v>
      </c>
      <c r="AJ36" s="17">
        <v>79.184877833118705</v>
      </c>
      <c r="AK36" s="17">
        <v>79.184877833118705</v>
      </c>
      <c r="AL36" s="17">
        <v>2.1065000910311898E-3</v>
      </c>
      <c r="AM36" s="17">
        <v>82.1058191249613</v>
      </c>
      <c r="AN36" s="16"/>
      <c r="AO36" s="17" t="s">
        <v>611</v>
      </c>
      <c r="AP36" s="17" t="s">
        <v>116</v>
      </c>
      <c r="AQ36" s="17" t="s">
        <v>87</v>
      </c>
      <c r="AR36" s="17" t="s">
        <v>88</v>
      </c>
      <c r="AS36" s="17" t="s">
        <v>88</v>
      </c>
      <c r="AT36" s="17" t="s">
        <v>618</v>
      </c>
      <c r="AU36" s="17" t="s">
        <v>90</v>
      </c>
      <c r="AV36" s="16"/>
      <c r="AW36" s="16"/>
      <c r="AX36" s="16"/>
      <c r="AY36" s="16"/>
      <c r="AZ36" s="17" t="s">
        <v>595</v>
      </c>
      <c r="BA36" s="17">
        <v>1</v>
      </c>
      <c r="BB36" s="17" t="s">
        <v>596</v>
      </c>
      <c r="BC36" s="17" t="s">
        <v>61</v>
      </c>
      <c r="BD36" s="16"/>
      <c r="BE36" s="17" t="s">
        <v>62</v>
      </c>
      <c r="BF36" s="17" t="s">
        <v>172</v>
      </c>
      <c r="BG36" s="17" t="s">
        <v>597</v>
      </c>
      <c r="BH36" s="16"/>
    </row>
    <row r="37" spans="1:60" ht="56" x14ac:dyDescent="0.15">
      <c r="A37" s="16"/>
      <c r="B37" s="17">
        <v>15</v>
      </c>
      <c r="C37" s="17">
        <v>15</v>
      </c>
      <c r="D37" s="17">
        <v>0</v>
      </c>
      <c r="E37" s="16"/>
      <c r="F37" s="16"/>
      <c r="G37" s="17" t="s">
        <v>142</v>
      </c>
      <c r="H37" s="17" t="s">
        <v>67</v>
      </c>
      <c r="I37" s="17" t="s">
        <v>84</v>
      </c>
      <c r="J37" s="17" t="s">
        <v>67</v>
      </c>
      <c r="K37" s="17" t="s">
        <v>611</v>
      </c>
      <c r="L37" s="17" t="s">
        <v>116</v>
      </c>
      <c r="M37" s="17" t="s">
        <v>87</v>
      </c>
      <c r="N37" s="17" t="s">
        <v>88</v>
      </c>
      <c r="O37" s="17" t="s">
        <v>88</v>
      </c>
      <c r="P37" s="17" t="s">
        <v>619</v>
      </c>
      <c r="Q37" s="17" t="s">
        <v>90</v>
      </c>
      <c r="R37" s="16"/>
      <c r="S37" s="16"/>
      <c r="T37" s="16"/>
      <c r="U37" s="16"/>
      <c r="V37" s="17">
        <v>0</v>
      </c>
      <c r="W37" s="17">
        <v>15</v>
      </c>
      <c r="X37" s="17">
        <v>15</v>
      </c>
      <c r="Y37" s="17">
        <v>16</v>
      </c>
      <c r="Z37" s="17">
        <v>82.130466500064401</v>
      </c>
      <c r="AA37" s="16"/>
      <c r="AB37" s="16"/>
      <c r="AC37" s="16"/>
      <c r="AD37" s="16"/>
      <c r="AE37" s="16"/>
      <c r="AF37" s="16"/>
      <c r="AG37" s="16"/>
      <c r="AH37" s="17">
        <v>82.1076773749664</v>
      </c>
      <c r="AI37" s="17">
        <v>82.130466500064401</v>
      </c>
      <c r="AJ37" s="17">
        <v>82.130466500064401</v>
      </c>
      <c r="AK37" s="17">
        <v>82.130466500064401</v>
      </c>
      <c r="AL37" s="17">
        <v>1.7726661171764101E-3</v>
      </c>
      <c r="AM37" s="17">
        <v>85.373403083067402</v>
      </c>
      <c r="AN37" s="17" t="s">
        <v>67</v>
      </c>
      <c r="AO37" s="17" t="s">
        <v>611</v>
      </c>
      <c r="AP37" s="17" t="s">
        <v>116</v>
      </c>
      <c r="AQ37" s="17" t="s">
        <v>87</v>
      </c>
      <c r="AR37" s="17" t="s">
        <v>88</v>
      </c>
      <c r="AS37" s="17" t="s">
        <v>88</v>
      </c>
      <c r="AT37" s="17" t="s">
        <v>619</v>
      </c>
      <c r="AU37" s="17" t="s">
        <v>90</v>
      </c>
      <c r="AV37" s="16"/>
      <c r="AW37" s="16"/>
      <c r="AX37" s="16"/>
      <c r="AY37" s="16"/>
      <c r="AZ37" s="17" t="s">
        <v>595</v>
      </c>
      <c r="BA37" s="17">
        <v>1</v>
      </c>
      <c r="BB37" s="17" t="s">
        <v>596</v>
      </c>
      <c r="BC37" s="17" t="s">
        <v>61</v>
      </c>
      <c r="BD37" s="16"/>
      <c r="BE37" s="17" t="s">
        <v>62</v>
      </c>
      <c r="BF37" s="17" t="s">
        <v>172</v>
      </c>
      <c r="BG37" s="17" t="s">
        <v>597</v>
      </c>
      <c r="BH37" s="16"/>
    </row>
    <row r="38" spans="1:60" ht="56" x14ac:dyDescent="0.15">
      <c r="A38" s="16"/>
      <c r="B38" s="17">
        <v>16</v>
      </c>
      <c r="C38" s="17">
        <v>16</v>
      </c>
      <c r="D38" s="17">
        <v>0</v>
      </c>
      <c r="E38" s="16"/>
      <c r="F38" s="16"/>
      <c r="G38" s="17" t="s">
        <v>169</v>
      </c>
      <c r="H38" s="17" t="s">
        <v>77</v>
      </c>
      <c r="I38" s="17" t="s">
        <v>84</v>
      </c>
      <c r="J38" s="17" t="s">
        <v>77</v>
      </c>
      <c r="K38" s="17" t="s">
        <v>611</v>
      </c>
      <c r="L38" s="17" t="s">
        <v>116</v>
      </c>
      <c r="M38" s="17" t="s">
        <v>87</v>
      </c>
      <c r="N38" s="17" t="s">
        <v>88</v>
      </c>
      <c r="O38" s="17" t="s">
        <v>88</v>
      </c>
      <c r="P38" s="17" t="s">
        <v>620</v>
      </c>
      <c r="Q38" s="17" t="s">
        <v>90</v>
      </c>
      <c r="R38" s="16"/>
      <c r="S38" s="16"/>
      <c r="T38" s="16"/>
      <c r="U38" s="16"/>
      <c r="V38" s="17">
        <v>0</v>
      </c>
      <c r="W38" s="17">
        <v>16</v>
      </c>
      <c r="X38" s="17">
        <v>16</v>
      </c>
      <c r="Y38" s="17">
        <v>10</v>
      </c>
      <c r="Z38" s="17">
        <v>85.384538083104403</v>
      </c>
      <c r="AA38" s="16"/>
      <c r="AB38" s="16"/>
      <c r="AC38" s="16"/>
      <c r="AD38" s="16"/>
      <c r="AE38" s="16"/>
      <c r="AF38" s="16"/>
      <c r="AG38" s="16"/>
      <c r="AH38" s="17">
        <v>85.375515457941205</v>
      </c>
      <c r="AI38" s="17">
        <v>85.384538083104403</v>
      </c>
      <c r="AJ38" s="17">
        <v>85.384538083104403</v>
      </c>
      <c r="AK38" s="17">
        <v>85.384538083104403</v>
      </c>
      <c r="AL38" s="17">
        <v>2.0324999932199699E-3</v>
      </c>
      <c r="AM38" s="17">
        <v>88.273360958090095</v>
      </c>
      <c r="AN38" s="17" t="s">
        <v>77</v>
      </c>
      <c r="AO38" s="17" t="s">
        <v>611</v>
      </c>
      <c r="AP38" s="17" t="s">
        <v>116</v>
      </c>
      <c r="AQ38" s="17" t="s">
        <v>87</v>
      </c>
      <c r="AR38" s="17" t="s">
        <v>88</v>
      </c>
      <c r="AS38" s="17" t="s">
        <v>88</v>
      </c>
      <c r="AT38" s="17" t="s">
        <v>620</v>
      </c>
      <c r="AU38" s="17" t="s">
        <v>90</v>
      </c>
      <c r="AV38" s="16"/>
      <c r="AW38" s="16"/>
      <c r="AX38" s="16"/>
      <c r="AY38" s="16"/>
      <c r="AZ38" s="17" t="s">
        <v>595</v>
      </c>
      <c r="BA38" s="17">
        <v>1</v>
      </c>
      <c r="BB38" s="17" t="s">
        <v>596</v>
      </c>
      <c r="BC38" s="17" t="s">
        <v>61</v>
      </c>
      <c r="BD38" s="16"/>
      <c r="BE38" s="17" t="s">
        <v>62</v>
      </c>
      <c r="BF38" s="17" t="s">
        <v>172</v>
      </c>
      <c r="BG38" s="17" t="s">
        <v>597</v>
      </c>
      <c r="BH38" s="16"/>
    </row>
    <row r="39" spans="1:60" ht="56" x14ac:dyDescent="0.15">
      <c r="A39" s="16"/>
      <c r="B39" s="17">
        <v>17</v>
      </c>
      <c r="C39" s="17">
        <v>17</v>
      </c>
      <c r="D39" s="17">
        <v>0</v>
      </c>
      <c r="E39" s="16"/>
      <c r="F39" s="16"/>
      <c r="G39" s="22" t="s">
        <v>164</v>
      </c>
      <c r="H39" s="22" t="s">
        <v>80</v>
      </c>
      <c r="I39" s="22" t="s">
        <v>84</v>
      </c>
      <c r="J39" s="23"/>
      <c r="K39" s="17" t="s">
        <v>611</v>
      </c>
      <c r="L39" s="17" t="s">
        <v>116</v>
      </c>
      <c r="M39" s="17" t="s">
        <v>87</v>
      </c>
      <c r="N39" s="17" t="s">
        <v>88</v>
      </c>
      <c r="O39" s="17" t="s">
        <v>88</v>
      </c>
      <c r="P39" s="17" t="s">
        <v>621</v>
      </c>
      <c r="Q39" s="17" t="s">
        <v>90</v>
      </c>
      <c r="R39" s="16"/>
      <c r="S39" s="16"/>
      <c r="T39" s="16"/>
      <c r="U39" s="16"/>
      <c r="V39" s="17">
        <v>0</v>
      </c>
      <c r="W39" s="17">
        <v>17</v>
      </c>
      <c r="X39" s="17">
        <v>17</v>
      </c>
      <c r="Y39" s="17">
        <v>15</v>
      </c>
      <c r="Z39" s="17">
        <v>88.284497583052101</v>
      </c>
      <c r="AA39" s="16"/>
      <c r="AB39" s="16"/>
      <c r="AC39" s="16"/>
      <c r="AD39" s="16"/>
      <c r="AE39" s="16"/>
      <c r="AF39" s="16"/>
      <c r="AG39" s="16"/>
      <c r="AH39" s="17">
        <v>88.2754527910147</v>
      </c>
      <c r="AI39" s="17">
        <v>88.284497583052101</v>
      </c>
      <c r="AJ39" s="17">
        <v>88.284497583052101</v>
      </c>
      <c r="AK39" s="17">
        <v>88.284497583052101</v>
      </c>
      <c r="AL39" s="17">
        <v>2.0008750725537499E-3</v>
      </c>
      <c r="AM39" s="17">
        <v>89.905520291067702</v>
      </c>
      <c r="AN39" s="16"/>
      <c r="AO39" s="17" t="s">
        <v>611</v>
      </c>
      <c r="AP39" s="17" t="s">
        <v>116</v>
      </c>
      <c r="AQ39" s="17" t="s">
        <v>87</v>
      </c>
      <c r="AR39" s="17" t="s">
        <v>88</v>
      </c>
      <c r="AS39" s="17" t="s">
        <v>88</v>
      </c>
      <c r="AT39" s="17" t="s">
        <v>621</v>
      </c>
      <c r="AU39" s="17" t="s">
        <v>90</v>
      </c>
      <c r="AV39" s="16"/>
      <c r="AW39" s="16"/>
      <c r="AX39" s="16"/>
      <c r="AY39" s="16"/>
      <c r="AZ39" s="17" t="s">
        <v>595</v>
      </c>
      <c r="BA39" s="17">
        <v>1</v>
      </c>
      <c r="BB39" s="17" t="s">
        <v>596</v>
      </c>
      <c r="BC39" s="17" t="s">
        <v>61</v>
      </c>
      <c r="BD39" s="16"/>
      <c r="BE39" s="17" t="s">
        <v>62</v>
      </c>
      <c r="BF39" s="17" t="s">
        <v>172</v>
      </c>
      <c r="BG39" s="17" t="s">
        <v>597</v>
      </c>
      <c r="BH39" s="16"/>
    </row>
    <row r="40" spans="1:60" ht="56" x14ac:dyDescent="0.15">
      <c r="A40" s="16"/>
      <c r="B40" s="17">
        <v>18</v>
      </c>
      <c r="C40" s="17">
        <v>18</v>
      </c>
      <c r="D40" s="17">
        <v>0</v>
      </c>
      <c r="E40" s="16"/>
      <c r="F40" s="16"/>
      <c r="G40" s="17" t="s">
        <v>138</v>
      </c>
      <c r="H40" s="17" t="s">
        <v>139</v>
      </c>
      <c r="I40" s="17" t="s">
        <v>96</v>
      </c>
      <c r="J40" s="17" t="s">
        <v>139</v>
      </c>
      <c r="K40" s="17" t="s">
        <v>611</v>
      </c>
      <c r="L40" s="17" t="s">
        <v>116</v>
      </c>
      <c r="M40" s="17" t="s">
        <v>87</v>
      </c>
      <c r="N40" s="17" t="s">
        <v>88</v>
      </c>
      <c r="O40" s="17" t="s">
        <v>88</v>
      </c>
      <c r="P40" s="17" t="s">
        <v>622</v>
      </c>
      <c r="Q40" s="17" t="s">
        <v>90</v>
      </c>
      <c r="R40" s="16"/>
      <c r="S40" s="16"/>
      <c r="T40" s="16"/>
      <c r="U40" s="16"/>
      <c r="V40" s="17">
        <v>0</v>
      </c>
      <c r="W40" s="17">
        <v>18</v>
      </c>
      <c r="X40" s="17">
        <v>18</v>
      </c>
      <c r="Y40" s="17">
        <v>21</v>
      </c>
      <c r="Z40" s="17">
        <v>89.930438332958204</v>
      </c>
      <c r="AA40" s="16"/>
      <c r="AB40" s="16"/>
      <c r="AC40" s="16"/>
      <c r="AD40" s="16"/>
      <c r="AE40" s="16"/>
      <c r="AF40" s="16"/>
      <c r="AG40" s="16"/>
      <c r="AH40" s="17">
        <v>89.907269333023606</v>
      </c>
      <c r="AI40" s="17">
        <v>89.930438332958204</v>
      </c>
      <c r="AJ40" s="17">
        <v>89.930438332958204</v>
      </c>
      <c r="AK40" s="17">
        <v>89.930438332958204</v>
      </c>
      <c r="AL40" s="17">
        <v>1.6801247838884601E-3</v>
      </c>
      <c r="AM40" s="17">
        <v>92.839727166108801</v>
      </c>
      <c r="AN40" s="17" t="s">
        <v>139</v>
      </c>
      <c r="AO40" s="17" t="s">
        <v>611</v>
      </c>
      <c r="AP40" s="17" t="s">
        <v>116</v>
      </c>
      <c r="AQ40" s="17" t="s">
        <v>87</v>
      </c>
      <c r="AR40" s="17" t="s">
        <v>88</v>
      </c>
      <c r="AS40" s="17" t="s">
        <v>88</v>
      </c>
      <c r="AT40" s="17" t="s">
        <v>622</v>
      </c>
      <c r="AU40" s="17" t="s">
        <v>90</v>
      </c>
      <c r="AV40" s="16"/>
      <c r="AW40" s="16"/>
      <c r="AX40" s="16"/>
      <c r="AY40" s="16"/>
      <c r="AZ40" s="17" t="s">
        <v>595</v>
      </c>
      <c r="BA40" s="17">
        <v>1</v>
      </c>
      <c r="BB40" s="17" t="s">
        <v>596</v>
      </c>
      <c r="BC40" s="17" t="s">
        <v>61</v>
      </c>
      <c r="BD40" s="16"/>
      <c r="BE40" s="17" t="s">
        <v>62</v>
      </c>
      <c r="BF40" s="17" t="s">
        <v>172</v>
      </c>
      <c r="BG40" s="17" t="s">
        <v>597</v>
      </c>
      <c r="BH40" s="16"/>
    </row>
    <row r="41" spans="1:60" ht="56" x14ac:dyDescent="0.15">
      <c r="A41" s="16"/>
      <c r="B41" s="17">
        <v>19</v>
      </c>
      <c r="C41" s="17">
        <v>19</v>
      </c>
      <c r="D41" s="17">
        <v>0</v>
      </c>
      <c r="E41" s="16"/>
      <c r="F41" s="16"/>
      <c r="G41" s="22" t="s">
        <v>114</v>
      </c>
      <c r="H41" s="22" t="s">
        <v>73</v>
      </c>
      <c r="I41" s="22" t="s">
        <v>84</v>
      </c>
      <c r="J41" s="22" t="s">
        <v>623</v>
      </c>
      <c r="K41" s="17" t="s">
        <v>611</v>
      </c>
      <c r="L41" s="17" t="s">
        <v>116</v>
      </c>
      <c r="M41" s="17" t="s">
        <v>87</v>
      </c>
      <c r="N41" s="17" t="s">
        <v>88</v>
      </c>
      <c r="O41" s="17" t="s">
        <v>88</v>
      </c>
      <c r="P41" s="17" t="s">
        <v>624</v>
      </c>
      <c r="Q41" s="17" t="s">
        <v>90</v>
      </c>
      <c r="R41" s="16"/>
      <c r="S41" s="16"/>
      <c r="T41" s="16"/>
      <c r="U41" s="16"/>
      <c r="V41" s="17">
        <v>0</v>
      </c>
      <c r="W41" s="17">
        <v>19</v>
      </c>
      <c r="X41" s="17">
        <v>19</v>
      </c>
      <c r="Y41" s="17">
        <v>14</v>
      </c>
      <c r="Z41" s="17">
        <v>92.851640583016007</v>
      </c>
      <c r="AA41" s="16"/>
      <c r="AB41" s="16"/>
      <c r="AC41" s="16"/>
      <c r="AD41" s="16"/>
      <c r="AE41" s="16"/>
      <c r="AF41" s="16"/>
      <c r="AG41" s="16"/>
      <c r="AH41" s="17">
        <v>92.841992750065401</v>
      </c>
      <c r="AI41" s="17">
        <v>92.851640583016007</v>
      </c>
      <c r="AJ41" s="17">
        <v>92.851640583016007</v>
      </c>
      <c r="AK41" s="17">
        <v>92.851640583016007</v>
      </c>
      <c r="AL41" s="17">
        <v>2.1762920077890201E-3</v>
      </c>
      <c r="AM41" s="17">
        <v>95.023846666095807</v>
      </c>
      <c r="AN41" s="17" t="s">
        <v>623</v>
      </c>
      <c r="AO41" s="17" t="s">
        <v>611</v>
      </c>
      <c r="AP41" s="17" t="s">
        <v>116</v>
      </c>
      <c r="AQ41" s="17" t="s">
        <v>87</v>
      </c>
      <c r="AR41" s="17" t="s">
        <v>88</v>
      </c>
      <c r="AS41" s="17" t="s">
        <v>88</v>
      </c>
      <c r="AT41" s="17" t="s">
        <v>624</v>
      </c>
      <c r="AU41" s="17" t="s">
        <v>90</v>
      </c>
      <c r="AV41" s="16"/>
      <c r="AW41" s="16"/>
      <c r="AX41" s="16"/>
      <c r="AY41" s="16"/>
      <c r="AZ41" s="17" t="s">
        <v>595</v>
      </c>
      <c r="BA41" s="17">
        <v>1</v>
      </c>
      <c r="BB41" s="17" t="s">
        <v>596</v>
      </c>
      <c r="BC41" s="17" t="s">
        <v>61</v>
      </c>
      <c r="BD41" s="16"/>
      <c r="BE41" s="17" t="s">
        <v>62</v>
      </c>
      <c r="BF41" s="17" t="s">
        <v>172</v>
      </c>
      <c r="BG41" s="17" t="s">
        <v>597</v>
      </c>
      <c r="BH41" s="16"/>
    </row>
    <row r="42" spans="1:60" ht="56" x14ac:dyDescent="0.15">
      <c r="A42" s="16"/>
      <c r="B42" s="17">
        <v>20</v>
      </c>
      <c r="C42" s="17">
        <v>20</v>
      </c>
      <c r="D42" s="17">
        <v>0</v>
      </c>
      <c r="E42" s="16"/>
      <c r="F42" s="16"/>
      <c r="G42" s="22" t="s">
        <v>94</v>
      </c>
      <c r="H42" s="22" t="s">
        <v>95</v>
      </c>
      <c r="I42" s="22" t="s">
        <v>96</v>
      </c>
      <c r="J42" s="23"/>
      <c r="K42" s="17" t="s">
        <v>611</v>
      </c>
      <c r="L42" s="17" t="s">
        <v>116</v>
      </c>
      <c r="M42" s="17" t="s">
        <v>87</v>
      </c>
      <c r="N42" s="17" t="s">
        <v>88</v>
      </c>
      <c r="O42" s="17" t="s">
        <v>88</v>
      </c>
      <c r="P42" s="17" t="s">
        <v>625</v>
      </c>
      <c r="Q42" s="17" t="s">
        <v>90</v>
      </c>
      <c r="R42" s="16"/>
      <c r="S42" s="16"/>
      <c r="T42" s="16"/>
      <c r="U42" s="16"/>
      <c r="V42" s="17">
        <v>0</v>
      </c>
      <c r="W42" s="17">
        <v>20</v>
      </c>
      <c r="X42" s="17">
        <v>20</v>
      </c>
      <c r="Y42" s="17">
        <v>22</v>
      </c>
      <c r="Z42" s="17">
        <v>95.035026957979397</v>
      </c>
      <c r="AA42" s="16"/>
      <c r="AB42" s="16"/>
      <c r="AC42" s="16"/>
      <c r="AD42" s="16"/>
      <c r="AE42" s="16"/>
      <c r="AF42" s="16"/>
      <c r="AG42" s="16"/>
      <c r="AH42" s="17">
        <v>95.026153333019494</v>
      </c>
      <c r="AI42" s="17">
        <v>95.035026957979397</v>
      </c>
      <c r="AJ42" s="17">
        <v>95.035026957979397</v>
      </c>
      <c r="AK42" s="17">
        <v>95.035026957979397</v>
      </c>
      <c r="AL42" s="17">
        <v>2.2049581166356802E-3</v>
      </c>
      <c r="AM42" s="17">
        <v>96.939224875066401</v>
      </c>
      <c r="AN42" s="16"/>
      <c r="AO42" s="17" t="s">
        <v>611</v>
      </c>
      <c r="AP42" s="17" t="s">
        <v>116</v>
      </c>
      <c r="AQ42" s="17" t="s">
        <v>87</v>
      </c>
      <c r="AR42" s="17" t="s">
        <v>88</v>
      </c>
      <c r="AS42" s="17" t="s">
        <v>88</v>
      </c>
      <c r="AT42" s="17" t="s">
        <v>625</v>
      </c>
      <c r="AU42" s="17" t="s">
        <v>90</v>
      </c>
      <c r="AV42" s="16"/>
      <c r="AW42" s="16"/>
      <c r="AX42" s="16"/>
      <c r="AY42" s="16"/>
      <c r="AZ42" s="17" t="s">
        <v>595</v>
      </c>
      <c r="BA42" s="17">
        <v>1</v>
      </c>
      <c r="BB42" s="17" t="s">
        <v>596</v>
      </c>
      <c r="BC42" s="17" t="s">
        <v>61</v>
      </c>
      <c r="BD42" s="16"/>
      <c r="BE42" s="17" t="s">
        <v>62</v>
      </c>
      <c r="BF42" s="17" t="s">
        <v>172</v>
      </c>
      <c r="BG42" s="17" t="s">
        <v>597</v>
      </c>
      <c r="BH42" s="16"/>
    </row>
    <row r="43" spans="1:60" ht="56" x14ac:dyDescent="0.15">
      <c r="A43" s="16"/>
      <c r="B43" s="17">
        <v>21</v>
      </c>
      <c r="C43" s="17">
        <v>21</v>
      </c>
      <c r="D43" s="17">
        <v>0</v>
      </c>
      <c r="E43" s="16"/>
      <c r="F43" s="16"/>
      <c r="G43" s="17" t="s">
        <v>118</v>
      </c>
      <c r="H43" s="17" t="s">
        <v>75</v>
      </c>
      <c r="I43" s="17" t="s">
        <v>84</v>
      </c>
      <c r="J43" s="17" t="s">
        <v>75</v>
      </c>
      <c r="K43" s="17" t="s">
        <v>611</v>
      </c>
      <c r="L43" s="17" t="s">
        <v>116</v>
      </c>
      <c r="M43" s="17" t="s">
        <v>87</v>
      </c>
      <c r="N43" s="17" t="s">
        <v>88</v>
      </c>
      <c r="O43" s="17" t="s">
        <v>88</v>
      </c>
      <c r="P43" s="17" t="s">
        <v>626</v>
      </c>
      <c r="Q43" s="17" t="s">
        <v>90</v>
      </c>
      <c r="R43" s="16"/>
      <c r="S43" s="16"/>
      <c r="T43" s="16"/>
      <c r="U43" s="16"/>
      <c r="V43" s="17">
        <v>0</v>
      </c>
      <c r="W43" s="17">
        <v>21</v>
      </c>
      <c r="X43" s="17">
        <v>21</v>
      </c>
      <c r="Y43" s="17">
        <v>7</v>
      </c>
      <c r="Z43" s="17">
        <v>96.963830790948094</v>
      </c>
      <c r="AA43" s="16"/>
      <c r="AB43" s="16"/>
      <c r="AC43" s="16"/>
      <c r="AD43" s="16"/>
      <c r="AE43" s="16"/>
      <c r="AF43" s="16"/>
      <c r="AG43" s="16"/>
      <c r="AH43" s="17">
        <v>96.940809291088996</v>
      </c>
      <c r="AI43" s="17">
        <v>96.963830790948094</v>
      </c>
      <c r="AJ43" s="17">
        <v>96.963830790948094</v>
      </c>
      <c r="AK43" s="17">
        <v>96.963830790948094</v>
      </c>
      <c r="AL43" s="17">
        <v>1.50800007395446E-3</v>
      </c>
      <c r="AM43" s="17">
        <v>99.873813958140104</v>
      </c>
      <c r="AN43" s="17" t="s">
        <v>75</v>
      </c>
      <c r="AO43" s="17" t="s">
        <v>611</v>
      </c>
      <c r="AP43" s="17" t="s">
        <v>116</v>
      </c>
      <c r="AQ43" s="17" t="s">
        <v>87</v>
      </c>
      <c r="AR43" s="17" t="s">
        <v>88</v>
      </c>
      <c r="AS43" s="17" t="s">
        <v>88</v>
      </c>
      <c r="AT43" s="17" t="s">
        <v>626</v>
      </c>
      <c r="AU43" s="17" t="s">
        <v>90</v>
      </c>
      <c r="AV43" s="16"/>
      <c r="AW43" s="16"/>
      <c r="AX43" s="16"/>
      <c r="AY43" s="16"/>
      <c r="AZ43" s="17" t="s">
        <v>595</v>
      </c>
      <c r="BA43" s="17">
        <v>1</v>
      </c>
      <c r="BB43" s="17" t="s">
        <v>596</v>
      </c>
      <c r="BC43" s="17" t="s">
        <v>61</v>
      </c>
      <c r="BD43" s="16"/>
      <c r="BE43" s="17" t="s">
        <v>62</v>
      </c>
      <c r="BF43" s="17" t="s">
        <v>172</v>
      </c>
      <c r="BG43" s="17" t="s">
        <v>597</v>
      </c>
      <c r="BH43" s="16"/>
    </row>
    <row r="44" spans="1:60" ht="56" x14ac:dyDescent="0.15">
      <c r="A44" s="16"/>
      <c r="B44" s="17">
        <v>22</v>
      </c>
      <c r="C44" s="17">
        <v>22</v>
      </c>
      <c r="D44" s="17">
        <v>0</v>
      </c>
      <c r="E44" s="16"/>
      <c r="F44" s="16"/>
      <c r="G44" s="22" t="s">
        <v>157</v>
      </c>
      <c r="H44" s="22" t="s">
        <v>66</v>
      </c>
      <c r="I44" s="22" t="s">
        <v>84</v>
      </c>
      <c r="J44" s="23"/>
      <c r="K44" s="17" t="s">
        <v>611</v>
      </c>
      <c r="L44" s="17" t="s">
        <v>116</v>
      </c>
      <c r="M44" s="17" t="s">
        <v>87</v>
      </c>
      <c r="N44" s="17" t="s">
        <v>88</v>
      </c>
      <c r="O44" s="17" t="s">
        <v>88</v>
      </c>
      <c r="P44" s="17" t="s">
        <v>627</v>
      </c>
      <c r="Q44" s="17" t="s">
        <v>90</v>
      </c>
      <c r="R44" s="16"/>
      <c r="S44" s="16"/>
      <c r="T44" s="16"/>
      <c r="U44" s="16"/>
      <c r="V44" s="17">
        <v>0</v>
      </c>
      <c r="W44" s="17">
        <v>22</v>
      </c>
      <c r="X44" s="17">
        <v>22</v>
      </c>
      <c r="Y44" s="17">
        <v>1</v>
      </c>
      <c r="Z44" s="17">
        <v>99.884127625031397</v>
      </c>
      <c r="AA44" s="16"/>
      <c r="AB44" s="16"/>
      <c r="AC44" s="16"/>
      <c r="AD44" s="16"/>
      <c r="AE44" s="16"/>
      <c r="AF44" s="16"/>
      <c r="AG44" s="16"/>
      <c r="AH44" s="17">
        <v>99.876058666035505</v>
      </c>
      <c r="AI44" s="17">
        <v>99.884127625031397</v>
      </c>
      <c r="AJ44" s="17">
        <v>99.884127625031397</v>
      </c>
      <c r="AK44" s="17">
        <v>99.884127625031397</v>
      </c>
      <c r="AL44" s="17">
        <v>2.15179193764925E-3</v>
      </c>
      <c r="AM44" s="17">
        <v>101.721942208009</v>
      </c>
      <c r="AN44" s="16"/>
      <c r="AO44" s="17" t="s">
        <v>611</v>
      </c>
      <c r="AP44" s="17" t="s">
        <v>116</v>
      </c>
      <c r="AQ44" s="17" t="s">
        <v>87</v>
      </c>
      <c r="AR44" s="17" t="s">
        <v>88</v>
      </c>
      <c r="AS44" s="17" t="s">
        <v>88</v>
      </c>
      <c r="AT44" s="17" t="s">
        <v>627</v>
      </c>
      <c r="AU44" s="17" t="s">
        <v>90</v>
      </c>
      <c r="AV44" s="16"/>
      <c r="AW44" s="16"/>
      <c r="AX44" s="16"/>
      <c r="AY44" s="16"/>
      <c r="AZ44" s="17" t="s">
        <v>595</v>
      </c>
      <c r="BA44" s="17">
        <v>1</v>
      </c>
      <c r="BB44" s="17" t="s">
        <v>596</v>
      </c>
      <c r="BC44" s="17" t="s">
        <v>61</v>
      </c>
      <c r="BD44" s="16"/>
      <c r="BE44" s="17" t="s">
        <v>62</v>
      </c>
      <c r="BF44" s="17" t="s">
        <v>172</v>
      </c>
      <c r="BG44" s="17" t="s">
        <v>597</v>
      </c>
      <c r="BH44" s="16"/>
    </row>
    <row r="45" spans="1:60" ht="56" x14ac:dyDescent="0.15">
      <c r="A45" s="16"/>
      <c r="B45" s="17">
        <v>23</v>
      </c>
      <c r="C45" s="17">
        <v>23</v>
      </c>
      <c r="D45" s="17">
        <v>0</v>
      </c>
      <c r="E45" s="16"/>
      <c r="F45" s="16"/>
      <c r="G45" s="17" t="s">
        <v>106</v>
      </c>
      <c r="H45" s="17" t="s">
        <v>107</v>
      </c>
      <c r="I45" s="17" t="s">
        <v>96</v>
      </c>
      <c r="J45" s="17" t="s">
        <v>107</v>
      </c>
      <c r="K45" s="17" t="s">
        <v>611</v>
      </c>
      <c r="L45" s="17" t="s">
        <v>116</v>
      </c>
      <c r="M45" s="17" t="s">
        <v>87</v>
      </c>
      <c r="N45" s="17" t="s">
        <v>88</v>
      </c>
      <c r="O45" s="17" t="s">
        <v>88</v>
      </c>
      <c r="P45" s="17" t="s">
        <v>628</v>
      </c>
      <c r="Q45" s="17" t="s">
        <v>90</v>
      </c>
      <c r="R45" s="16"/>
      <c r="S45" s="16"/>
      <c r="T45" s="16"/>
      <c r="U45" s="16"/>
      <c r="V45" s="17">
        <v>0</v>
      </c>
      <c r="W45" s="17">
        <v>23</v>
      </c>
      <c r="X45" s="17">
        <v>23</v>
      </c>
      <c r="Y45" s="17">
        <v>23</v>
      </c>
      <c r="Z45" s="17">
        <v>101.73113804101</v>
      </c>
      <c r="AA45" s="16"/>
      <c r="AB45" s="16"/>
      <c r="AC45" s="16"/>
      <c r="AD45" s="16"/>
      <c r="AE45" s="16"/>
      <c r="AF45" s="16"/>
      <c r="AG45" s="16"/>
      <c r="AH45" s="17">
        <v>101.723560250131</v>
      </c>
      <c r="AI45" s="17">
        <v>101.73113804101</v>
      </c>
      <c r="AJ45" s="17">
        <v>101.73113804101</v>
      </c>
      <c r="AK45" s="17">
        <v>101.73113804101</v>
      </c>
      <c r="AL45" s="17">
        <v>1.54537498019636E-3</v>
      </c>
      <c r="AM45" s="17">
        <v>104.322791540995</v>
      </c>
      <c r="AN45" s="17" t="s">
        <v>107</v>
      </c>
      <c r="AO45" s="17" t="s">
        <v>611</v>
      </c>
      <c r="AP45" s="17" t="s">
        <v>116</v>
      </c>
      <c r="AQ45" s="17" t="s">
        <v>87</v>
      </c>
      <c r="AR45" s="17" t="s">
        <v>88</v>
      </c>
      <c r="AS45" s="17" t="s">
        <v>88</v>
      </c>
      <c r="AT45" s="17" t="s">
        <v>628</v>
      </c>
      <c r="AU45" s="17" t="s">
        <v>90</v>
      </c>
      <c r="AV45" s="16"/>
      <c r="AW45" s="16"/>
      <c r="AX45" s="16"/>
      <c r="AY45" s="16"/>
      <c r="AZ45" s="17" t="s">
        <v>595</v>
      </c>
      <c r="BA45" s="17">
        <v>1</v>
      </c>
      <c r="BB45" s="17" t="s">
        <v>596</v>
      </c>
      <c r="BC45" s="17" t="s">
        <v>61</v>
      </c>
      <c r="BD45" s="16"/>
      <c r="BE45" s="17" t="s">
        <v>62</v>
      </c>
      <c r="BF45" s="17" t="s">
        <v>172</v>
      </c>
      <c r="BG45" s="17" t="s">
        <v>597</v>
      </c>
      <c r="BH45" s="16"/>
    </row>
    <row r="46" spans="1:60" ht="56" x14ac:dyDescent="0.15">
      <c r="A46" s="16"/>
      <c r="B46" s="17">
        <v>24</v>
      </c>
      <c r="C46" s="17">
        <v>24</v>
      </c>
      <c r="D46" s="17">
        <v>0</v>
      </c>
      <c r="E46" s="16"/>
      <c r="F46" s="16"/>
      <c r="G46" s="17" t="s">
        <v>83</v>
      </c>
      <c r="H46" s="17" t="s">
        <v>82</v>
      </c>
      <c r="I46" s="17" t="s">
        <v>84</v>
      </c>
      <c r="J46" s="17" t="s">
        <v>82</v>
      </c>
      <c r="K46" s="17" t="s">
        <v>611</v>
      </c>
      <c r="L46" s="17" t="s">
        <v>116</v>
      </c>
      <c r="M46" s="17" t="s">
        <v>87</v>
      </c>
      <c r="N46" s="17" t="s">
        <v>88</v>
      </c>
      <c r="O46" s="17" t="s">
        <v>88</v>
      </c>
      <c r="P46" s="17" t="s">
        <v>629</v>
      </c>
      <c r="Q46" s="17" t="s">
        <v>90</v>
      </c>
      <c r="R46" s="16"/>
      <c r="S46" s="16"/>
      <c r="T46" s="16"/>
      <c r="U46" s="16"/>
      <c r="V46" s="17">
        <v>0</v>
      </c>
      <c r="W46" s="17">
        <v>24</v>
      </c>
      <c r="X46" s="17">
        <v>24</v>
      </c>
      <c r="Y46" s="17">
        <v>9</v>
      </c>
      <c r="Z46" s="17">
        <v>104.33435050002301</v>
      </c>
      <c r="AA46" s="16"/>
      <c r="AB46" s="16"/>
      <c r="AC46" s="16"/>
      <c r="AD46" s="16"/>
      <c r="AE46" s="16"/>
      <c r="AF46" s="16"/>
      <c r="AG46" s="16"/>
      <c r="AH46" s="17">
        <v>104.32485020812599</v>
      </c>
      <c r="AI46" s="17">
        <v>104.33435050002301</v>
      </c>
      <c r="AJ46" s="17">
        <v>104.33435050002301</v>
      </c>
      <c r="AK46" s="17">
        <v>104.33435050002301</v>
      </c>
      <c r="AL46" s="17">
        <v>1.9617080688476602E-3</v>
      </c>
      <c r="AM46" s="17">
        <v>106.423584500095</v>
      </c>
      <c r="AN46" s="17" t="s">
        <v>82</v>
      </c>
      <c r="AO46" s="17" t="s">
        <v>611</v>
      </c>
      <c r="AP46" s="17" t="s">
        <v>116</v>
      </c>
      <c r="AQ46" s="17" t="s">
        <v>87</v>
      </c>
      <c r="AR46" s="17" t="s">
        <v>88</v>
      </c>
      <c r="AS46" s="17" t="s">
        <v>88</v>
      </c>
      <c r="AT46" s="17" t="s">
        <v>629</v>
      </c>
      <c r="AU46" s="17" t="s">
        <v>90</v>
      </c>
      <c r="AV46" s="16"/>
      <c r="AW46" s="16"/>
      <c r="AX46" s="16"/>
      <c r="AY46" s="16"/>
      <c r="AZ46" s="17" t="s">
        <v>595</v>
      </c>
      <c r="BA46" s="17">
        <v>1</v>
      </c>
      <c r="BB46" s="17" t="s">
        <v>596</v>
      </c>
      <c r="BC46" s="17" t="s">
        <v>61</v>
      </c>
      <c r="BD46" s="16"/>
      <c r="BE46" s="17" t="s">
        <v>62</v>
      </c>
      <c r="BF46" s="17" t="s">
        <v>172</v>
      </c>
      <c r="BG46" s="17" t="s">
        <v>597</v>
      </c>
      <c r="BH46" s="16"/>
    </row>
    <row r="48" spans="1:60" ht="14" x14ac:dyDescent="0.15">
      <c r="K48" s="19" t="s">
        <v>630</v>
      </c>
      <c r="L48" s="17" t="s">
        <v>652</v>
      </c>
      <c r="M48">
        <f>14/16</f>
        <v>0.875</v>
      </c>
    </row>
    <row r="49" spans="11:13" ht="14" x14ac:dyDescent="0.15">
      <c r="K49" s="19" t="s">
        <v>631</v>
      </c>
      <c r="L49" s="17" t="s">
        <v>640</v>
      </c>
      <c r="M49">
        <f>3/3</f>
        <v>1</v>
      </c>
    </row>
    <row r="50" spans="11:13" x14ac:dyDescent="0.15">
      <c r="K50" s="1"/>
    </row>
    <row r="51" spans="11:13" x14ac:dyDescent="0.15">
      <c r="K51" s="19" t="s">
        <v>637</v>
      </c>
      <c r="M51">
        <f>M48-M49</f>
        <v>-0.125</v>
      </c>
    </row>
    <row r="53" spans="11:13" x14ac:dyDescent="0.15">
      <c r="K53" s="19" t="s">
        <v>658</v>
      </c>
      <c r="M53">
        <f>M51-'6 sleep'!M51</f>
        <v>-0.3814102564102565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D6AF-96B6-AA4A-89C1-91BC8439FBC8}">
  <dimension ref="A1:C13"/>
  <sheetViews>
    <sheetView tabSelected="1" workbookViewId="0">
      <selection activeCell="G25" sqref="G25"/>
    </sheetView>
  </sheetViews>
  <sheetFormatPr baseColWidth="10" defaultRowHeight="13" x14ac:dyDescent="0.15"/>
  <cols>
    <col min="3" max="3" width="15.83203125" customWidth="1"/>
  </cols>
  <sheetData>
    <row r="1" spans="1:3" ht="28" x14ac:dyDescent="0.15">
      <c r="A1" s="24" t="s">
        <v>653</v>
      </c>
      <c r="B1" s="24" t="s">
        <v>656</v>
      </c>
      <c r="C1" s="24" t="s">
        <v>659</v>
      </c>
    </row>
    <row r="2" spans="1:3" ht="14" x14ac:dyDescent="0.15">
      <c r="A2">
        <v>1</v>
      </c>
      <c r="B2" s="24" t="s">
        <v>654</v>
      </c>
      <c r="C2" s="26">
        <v>0.16666666699999999</v>
      </c>
    </row>
    <row r="3" spans="1:3" ht="14" x14ac:dyDescent="0.15">
      <c r="A3">
        <v>2</v>
      </c>
      <c r="B3" s="24" t="s">
        <v>654</v>
      </c>
      <c r="C3">
        <v>-0.27450980392156865</v>
      </c>
    </row>
    <row r="4" spans="1:3" ht="14" x14ac:dyDescent="0.15">
      <c r="A4">
        <v>3</v>
      </c>
      <c r="B4" s="24" t="s">
        <v>655</v>
      </c>
      <c r="C4">
        <v>-0.14761904761904765</v>
      </c>
    </row>
    <row r="5" spans="1:3" ht="14" x14ac:dyDescent="0.15">
      <c r="A5">
        <v>4</v>
      </c>
      <c r="B5" s="24" t="s">
        <v>655</v>
      </c>
      <c r="C5">
        <v>-5.555555555555558E-2</v>
      </c>
    </row>
    <row r="6" spans="1:3" ht="14" x14ac:dyDescent="0.15">
      <c r="A6">
        <v>5</v>
      </c>
      <c r="B6" s="24" t="s">
        <v>655</v>
      </c>
      <c r="C6">
        <v>0.19580419580419584</v>
      </c>
    </row>
    <row r="7" spans="1:3" ht="14" x14ac:dyDescent="0.15">
      <c r="A7">
        <v>6</v>
      </c>
      <c r="B7" s="24" t="s">
        <v>654</v>
      </c>
      <c r="C7">
        <v>-0.3814102564102565</v>
      </c>
    </row>
    <row r="8" spans="1:3" x14ac:dyDescent="0.15">
      <c r="B8" s="24"/>
    </row>
    <row r="9" spans="1:3" x14ac:dyDescent="0.15">
      <c r="B9" s="24"/>
    </row>
    <row r="10" spans="1:3" x14ac:dyDescent="0.15">
      <c r="B10" s="24"/>
    </row>
    <row r="11" spans="1:3" x14ac:dyDescent="0.15">
      <c r="B11" s="24"/>
    </row>
    <row r="12" spans="1:3" x14ac:dyDescent="0.15">
      <c r="B12" s="24"/>
    </row>
    <row r="13" spans="1:3" x14ac:dyDescent="0.15">
      <c r="B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 sleep</vt:lpstr>
      <vt:lpstr>1.1 sleep</vt:lpstr>
      <vt:lpstr>2 sleep</vt:lpstr>
      <vt:lpstr>2.1 sleep</vt:lpstr>
      <vt:lpstr>3</vt:lpstr>
      <vt:lpstr>3.1</vt:lpstr>
      <vt:lpstr>4</vt:lpstr>
      <vt:lpstr>4.1</vt:lpstr>
      <vt:lpstr>5</vt:lpstr>
      <vt:lpstr>5.1</vt:lpstr>
      <vt:lpstr>6 sleep</vt:lpstr>
      <vt:lpstr>6.1 sleep</vt:lpstr>
      <vt:lpstr>compiled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2025-11-24T07:46:13Z</dcterms:modified>
</cp:coreProperties>
</file>