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5E97FB78-220D-474E-963E-A1B11A760C96}" xr6:coauthVersionLast="47" xr6:coauthVersionMax="47" xr10:uidLastSave="{00000000-0000-0000-0000-000000000000}"/>
  <bookViews>
    <workbookView xWindow="0" yWindow="860" windowWidth="34200" windowHeight="21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90" i="2"/>
  <c r="G84" i="2"/>
  <c r="G81" i="2"/>
  <c r="G76" i="2"/>
  <c r="G72" i="2"/>
  <c r="G70" i="2"/>
  <c r="G65" i="2"/>
  <c r="G63" i="2"/>
  <c r="G60" i="2"/>
  <c r="G58" i="2"/>
  <c r="G54" i="2"/>
  <c r="G52" i="2"/>
  <c r="G50" i="2"/>
  <c r="G48" i="2"/>
  <c r="G45" i="2"/>
  <c r="G42" i="2"/>
  <c r="G38" i="2"/>
  <c r="G36" i="2"/>
  <c r="G34" i="2"/>
  <c r="G32" i="2"/>
  <c r="G30" i="2"/>
  <c r="G27" i="2"/>
  <c r="G25" i="2"/>
  <c r="G23" i="2"/>
  <c r="G20" i="2"/>
  <c r="G17" i="2"/>
  <c r="G12" i="2"/>
  <c r="G10" i="2"/>
  <c r="G8" i="2"/>
  <c r="G4" i="2"/>
  <c r="E11" i="2"/>
  <c r="E51" i="2"/>
  <c r="E64" i="2"/>
  <c r="E28" i="2"/>
  <c r="E7" i="2"/>
  <c r="E14" i="2"/>
  <c r="E52" i="2"/>
  <c r="E75" i="2"/>
  <c r="E68" i="2"/>
  <c r="E81" i="2"/>
  <c r="E77" i="2"/>
  <c r="E36" i="2"/>
  <c r="E17" i="2"/>
  <c r="E25" i="2"/>
  <c r="E44" i="2"/>
  <c r="E88" i="2"/>
  <c r="E20" i="2"/>
  <c r="E65" i="2"/>
  <c r="E72" i="2"/>
  <c r="E60" i="2"/>
  <c r="E50" i="2"/>
  <c r="E101" i="2"/>
  <c r="E99" i="2"/>
  <c r="E61" i="2"/>
  <c r="E38" i="2"/>
  <c r="E89" i="2"/>
  <c r="E42" i="2"/>
  <c r="E22" i="2"/>
  <c r="E24" i="2"/>
  <c r="E92" i="2"/>
  <c r="E66" i="2"/>
  <c r="E69" i="2"/>
  <c r="E53" i="2"/>
  <c r="E9" i="2"/>
  <c r="E78" i="2"/>
  <c r="E96" i="2"/>
  <c r="E90" i="2"/>
  <c r="E97" i="2"/>
  <c r="E55" i="2"/>
  <c r="E79" i="2"/>
  <c r="E39" i="2"/>
  <c r="E31" i="2"/>
  <c r="E47" i="2"/>
  <c r="E87" i="2"/>
  <c r="E83" i="2"/>
  <c r="E18" i="2"/>
  <c r="E58" i="2"/>
  <c r="E67" i="2"/>
  <c r="E56" i="2"/>
  <c r="E73" i="2"/>
  <c r="E26" i="2"/>
  <c r="E46" i="2"/>
  <c r="E23" i="2"/>
  <c r="E16" i="2"/>
  <c r="E27" i="2"/>
  <c r="E86" i="2"/>
  <c r="E85" i="2"/>
  <c r="E82" i="2"/>
  <c r="E37" i="2"/>
  <c r="E12" i="2"/>
  <c r="E59" i="2"/>
  <c r="E2" i="2"/>
  <c r="E30" i="2"/>
  <c r="E4" i="2"/>
  <c r="E93" i="2"/>
  <c r="E33" i="2"/>
  <c r="E43" i="2"/>
  <c r="E95" i="2"/>
  <c r="E54" i="2"/>
  <c r="E49" i="2"/>
  <c r="E63" i="2"/>
  <c r="E57" i="2"/>
  <c r="E76" i="2"/>
  <c r="E19" i="2"/>
  <c r="E70" i="2"/>
  <c r="E29" i="2"/>
  <c r="E45" i="2"/>
  <c r="E94" i="2"/>
  <c r="E32" i="2"/>
  <c r="E84" i="2"/>
  <c r="E34" i="2"/>
  <c r="E5" i="2"/>
  <c r="E41" i="2"/>
  <c r="E91" i="2"/>
  <c r="E48" i="2"/>
  <c r="E35" i="2"/>
  <c r="E10" i="2"/>
  <c r="E3" i="2"/>
  <c r="E21" i="2"/>
  <c r="E8" i="2"/>
  <c r="E6" i="2"/>
  <c r="E62" i="2"/>
  <c r="E13" i="2"/>
  <c r="E71" i="2"/>
  <c r="E15" i="2"/>
  <c r="E98" i="2"/>
  <c r="E100" i="2"/>
  <c r="E40" i="2"/>
  <c r="E74" i="2"/>
  <c r="E80" i="2"/>
</calcChain>
</file>

<file path=xl/sharedStrings.xml><?xml version="1.0" encoding="utf-8"?>
<sst xmlns="http://schemas.openxmlformats.org/spreadsheetml/2006/main" count="1039" uniqueCount="42">
  <si>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</si>
  <si>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</si>
  <si>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</si>
  <si>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</si>
  <si>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</si>
  <si>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</si>
  <si>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</si>
  <si>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</si>
  <si>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</si>
  <si>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</si>
  <si>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</si>
  <si>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</si>
  <si>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</si>
  <si>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</si>
  <si>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</si>
  <si>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</si>
  <si>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</si>
  <si>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</si>
  <si>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</si>
  <si>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</si>
  <si>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</si>
  <si>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</si>
  <si>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</si>
  <si>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</si>
  <si>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</si>
  <si>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</si>
  <si>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</si>
  <si>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</si>
  <si>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</si>
  <si>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</si>
  <si>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</si>
  <si>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</si>
  <si>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</t>
  </si>
  <si>
    <t>None</t>
  </si>
  <si>
    <t>2025-11-02_17h58.47.758</t>
  </si>
  <si>
    <t>delay discounting pra</t>
  </si>
  <si>
    <t>2025.1.1</t>
  </si>
  <si>
    <t>2025-11-02 17h58.55.284643 +0530</t>
  </si>
  <si>
    <t>t</t>
  </si>
  <si>
    <t>k</t>
  </si>
  <si>
    <t>geomean</t>
  </si>
  <si>
    <t>disc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</si>
</sst>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0" fillId="4" borderId="0" xfId="0" applyFill="1">
      <alignment vertical="top" wrapText="1"/>
    </xf>
    <xf numFmtId="0" fontId="3" fillId="4" borderId="0" xfId="0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1"/>
  <sheetViews>
    <sheetView showGridLines="0" workbookViewId="0">
      <selection activeCell="G1" sqref="G1:G1048576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7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8.6640625" style="1" customWidth="1"/>
    <col min="15" max="15" width="6" style="1" customWidth="1"/>
    <col min="16" max="17" width="18.6640625" style="1" customWidth="1"/>
    <col min="18" max="21" width="17.6640625" style="1" customWidth="1"/>
    <col min="22" max="22" width="17.1640625" style="1" customWidth="1"/>
    <col min="23" max="23" width="17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7.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 spans="1:33" ht="20.25" customHeight="1" x14ac:dyDescent="0.15">
      <c r="A2" s="4">
        <v>35</v>
      </c>
      <c r="B2" s="5">
        <v>63</v>
      </c>
      <c r="C2" s="6">
        <v>88</v>
      </c>
      <c r="D2" s="6">
        <v>0</v>
      </c>
      <c r="E2" s="6">
        <v>0</v>
      </c>
      <c r="F2" s="6">
        <v>0</v>
      </c>
      <c r="G2" s="7" t="s">
        <v>32</v>
      </c>
      <c r="H2" s="6">
        <v>3.3046683741267802</v>
      </c>
      <c r="I2" s="7" t="s">
        <v>33</v>
      </c>
      <c r="J2" s="6">
        <v>0</v>
      </c>
      <c r="K2" s="6">
        <v>0</v>
      </c>
      <c r="L2" s="6">
        <v>0</v>
      </c>
      <c r="M2" s="6">
        <v>75</v>
      </c>
      <c r="N2" s="6">
        <v>4.8446167027577799E-2</v>
      </c>
      <c r="O2" s="8"/>
      <c r="P2" s="6">
        <v>4.2791292071342503E-2</v>
      </c>
      <c r="Q2" s="6">
        <v>4.8446167027577799E-2</v>
      </c>
      <c r="R2" s="6">
        <v>1.00512816710398</v>
      </c>
      <c r="S2" s="6">
        <v>1.00512816710398</v>
      </c>
      <c r="T2" s="6">
        <v>1.0463306249585</v>
      </c>
      <c r="U2" s="6">
        <v>4.5124665419571102</v>
      </c>
      <c r="V2" s="7" t="s">
        <v>32</v>
      </c>
      <c r="W2" s="6">
        <v>3.3046683741267802</v>
      </c>
      <c r="X2" s="7" t="s">
        <v>33</v>
      </c>
      <c r="Y2" s="6">
        <v>2</v>
      </c>
      <c r="Z2" s="6">
        <v>1</v>
      </c>
      <c r="AA2" s="7" t="s">
        <v>34</v>
      </c>
      <c r="AB2" s="7" t="s">
        <v>35</v>
      </c>
      <c r="AC2" s="8"/>
      <c r="AD2" s="7" t="s">
        <v>36</v>
      </c>
      <c r="AE2" s="7" t="s">
        <v>33</v>
      </c>
      <c r="AF2" s="7" t="s">
        <v>37</v>
      </c>
      <c r="AG2" s="8"/>
    </row>
    <row r="3" spans="1:33" ht="20" customHeight="1" x14ac:dyDescent="0.15">
      <c r="A3" s="9">
        <v>62</v>
      </c>
      <c r="B3" s="10">
        <v>76</v>
      </c>
      <c r="C3" s="11">
        <v>170</v>
      </c>
      <c r="D3" s="11">
        <v>1</v>
      </c>
      <c r="E3" s="11">
        <v>1</v>
      </c>
      <c r="F3" s="11">
        <v>0</v>
      </c>
      <c r="G3" s="12" t="s">
        <v>32</v>
      </c>
      <c r="H3" s="11">
        <v>1.7065169159322999</v>
      </c>
      <c r="I3" s="12" t="s">
        <v>33</v>
      </c>
      <c r="J3" s="11">
        <v>0</v>
      </c>
      <c r="K3" s="11">
        <v>1</v>
      </c>
      <c r="L3" s="11">
        <v>1</v>
      </c>
      <c r="M3" s="11">
        <v>73</v>
      </c>
      <c r="N3" s="11">
        <v>4.5248544169589904</v>
      </c>
      <c r="O3" s="13"/>
      <c r="P3" s="11">
        <v>4.5157999589573601</v>
      </c>
      <c r="Q3" s="11">
        <v>4.5248544169589904</v>
      </c>
      <c r="R3" s="11">
        <v>5.5068082499783504</v>
      </c>
      <c r="S3" s="11">
        <v>5.5068082499783504</v>
      </c>
      <c r="T3" s="11">
        <v>5.5240376251749703</v>
      </c>
      <c r="U3" s="11">
        <v>7.2163777500390998</v>
      </c>
      <c r="V3" s="12" t="s">
        <v>32</v>
      </c>
      <c r="W3" s="11">
        <v>1.7065169159322999</v>
      </c>
      <c r="X3" s="12" t="s">
        <v>33</v>
      </c>
      <c r="Y3" s="11">
        <v>2</v>
      </c>
      <c r="Z3" s="11">
        <v>1</v>
      </c>
      <c r="AA3" s="12" t="s">
        <v>34</v>
      </c>
      <c r="AB3" s="12" t="s">
        <v>35</v>
      </c>
      <c r="AC3" s="13"/>
      <c r="AD3" s="12" t="s">
        <v>36</v>
      </c>
      <c r="AE3" s="12" t="s">
        <v>33</v>
      </c>
      <c r="AF3" s="12" t="s">
        <v>37</v>
      </c>
      <c r="AG3" s="13"/>
    </row>
    <row r="4" spans="1:33" ht="20" customHeight="1" x14ac:dyDescent="0.15">
      <c r="A4" s="9">
        <v>15</v>
      </c>
      <c r="B4" s="10">
        <v>20</v>
      </c>
      <c r="C4" s="11">
        <v>103</v>
      </c>
      <c r="D4" s="11">
        <v>2</v>
      </c>
      <c r="E4" s="11">
        <v>2</v>
      </c>
      <c r="F4" s="11">
        <v>0</v>
      </c>
      <c r="G4" s="12" t="s">
        <v>38</v>
      </c>
      <c r="H4" s="11">
        <v>1.4937290828675001</v>
      </c>
      <c r="I4" s="12" t="s">
        <v>33</v>
      </c>
      <c r="J4" s="11">
        <v>0</v>
      </c>
      <c r="K4" s="11">
        <v>2</v>
      </c>
      <c r="L4" s="11">
        <v>2</v>
      </c>
      <c r="M4" s="11">
        <v>59</v>
      </c>
      <c r="N4" s="11">
        <v>7.2433896670118001</v>
      </c>
      <c r="O4" s="13"/>
      <c r="P4" s="11">
        <v>7.2233959999866801</v>
      </c>
      <c r="Q4" s="11">
        <v>7.2433896670118001</v>
      </c>
      <c r="R4" s="11">
        <v>8.2156129591167009</v>
      </c>
      <c r="S4" s="11">
        <v>8.2156129591167009</v>
      </c>
      <c r="T4" s="11">
        <v>8.2406282089650595</v>
      </c>
      <c r="U4" s="11">
        <v>9.7149380841292405</v>
      </c>
      <c r="V4" s="12" t="s">
        <v>38</v>
      </c>
      <c r="W4" s="11">
        <v>1.4937290828675001</v>
      </c>
      <c r="X4" s="12" t="s">
        <v>33</v>
      </c>
      <c r="Y4" s="11">
        <v>2</v>
      </c>
      <c r="Z4" s="11">
        <v>1</v>
      </c>
      <c r="AA4" s="12" t="s">
        <v>34</v>
      </c>
      <c r="AB4" s="12" t="s">
        <v>35</v>
      </c>
      <c r="AC4" s="13"/>
      <c r="AD4" s="12" t="s">
        <v>36</v>
      </c>
      <c r="AE4" s="12" t="s">
        <v>33</v>
      </c>
      <c r="AF4" s="12" t="s">
        <v>37</v>
      </c>
      <c r="AG4" s="13"/>
    </row>
    <row r="5" spans="1:33" ht="20" customHeight="1" x14ac:dyDescent="0.15">
      <c r="A5" s="9">
        <v>38</v>
      </c>
      <c r="B5" s="10">
        <v>66</v>
      </c>
      <c r="C5" s="11">
        <v>157</v>
      </c>
      <c r="D5" s="11">
        <v>3</v>
      </c>
      <c r="E5" s="11">
        <v>3</v>
      </c>
      <c r="F5" s="11">
        <v>0</v>
      </c>
      <c r="G5" s="12" t="s">
        <v>32</v>
      </c>
      <c r="H5" s="11">
        <v>1.58004437503405</v>
      </c>
      <c r="I5" s="12" t="s">
        <v>33</v>
      </c>
      <c r="J5" s="11">
        <v>0</v>
      </c>
      <c r="K5" s="11">
        <v>3</v>
      </c>
      <c r="L5" s="11">
        <v>3</v>
      </c>
      <c r="M5" s="11">
        <v>78</v>
      </c>
      <c r="N5" s="11">
        <v>9.7322106671053898</v>
      </c>
      <c r="O5" s="13"/>
      <c r="P5" s="11">
        <v>9.72218966716901</v>
      </c>
      <c r="Q5" s="11">
        <v>9.7322106671053898</v>
      </c>
      <c r="R5" s="11">
        <v>10.7152017501649</v>
      </c>
      <c r="S5" s="11">
        <v>10.7152017501649</v>
      </c>
      <c r="T5" s="11">
        <v>10.7230559170712</v>
      </c>
      <c r="U5" s="11">
        <v>12.298369375057501</v>
      </c>
      <c r="V5" s="12" t="s">
        <v>32</v>
      </c>
      <c r="W5" s="11">
        <v>1.58004437503405</v>
      </c>
      <c r="X5" s="12" t="s">
        <v>33</v>
      </c>
      <c r="Y5" s="11">
        <v>2</v>
      </c>
      <c r="Z5" s="11">
        <v>1</v>
      </c>
      <c r="AA5" s="12" t="s">
        <v>34</v>
      </c>
      <c r="AB5" s="12" t="s">
        <v>35</v>
      </c>
      <c r="AC5" s="13"/>
      <c r="AD5" s="12" t="s">
        <v>36</v>
      </c>
      <c r="AE5" s="12" t="s">
        <v>33</v>
      </c>
      <c r="AF5" s="12" t="s">
        <v>37</v>
      </c>
      <c r="AG5" s="13"/>
    </row>
    <row r="6" spans="1:33" ht="20" customHeight="1" x14ac:dyDescent="0.15">
      <c r="A6" s="9">
        <v>74</v>
      </c>
      <c r="B6" s="10">
        <v>95</v>
      </c>
      <c r="C6" s="11">
        <v>132</v>
      </c>
      <c r="D6" s="11">
        <v>4</v>
      </c>
      <c r="E6" s="11">
        <v>4</v>
      </c>
      <c r="F6" s="11">
        <v>0</v>
      </c>
      <c r="G6" s="12" t="s">
        <v>32</v>
      </c>
      <c r="H6" s="11">
        <v>1.2965809991583199</v>
      </c>
      <c r="I6" s="12" t="s">
        <v>33</v>
      </c>
      <c r="J6" s="11">
        <v>0</v>
      </c>
      <c r="K6" s="11">
        <v>4</v>
      </c>
      <c r="L6" s="11">
        <v>4</v>
      </c>
      <c r="M6" s="11">
        <v>81</v>
      </c>
      <c r="N6" s="11">
        <v>12.3163809999824</v>
      </c>
      <c r="O6" s="13"/>
      <c r="P6" s="11">
        <v>12.308471667114601</v>
      </c>
      <c r="Q6" s="11">
        <v>12.3163809999824</v>
      </c>
      <c r="R6" s="11">
        <v>13.2986417501234</v>
      </c>
      <c r="S6" s="11">
        <v>13.2986417501234</v>
      </c>
      <c r="T6" s="11">
        <v>13.313237749971499</v>
      </c>
      <c r="U6" s="11">
        <v>14.5976400841028</v>
      </c>
      <c r="V6" s="12" t="s">
        <v>32</v>
      </c>
      <c r="W6" s="11">
        <v>1.2965809991583199</v>
      </c>
      <c r="X6" s="12" t="s">
        <v>33</v>
      </c>
      <c r="Y6" s="11">
        <v>2</v>
      </c>
      <c r="Z6" s="11">
        <v>1</v>
      </c>
      <c r="AA6" s="12" t="s">
        <v>34</v>
      </c>
      <c r="AB6" s="12" t="s">
        <v>35</v>
      </c>
      <c r="AC6" s="13"/>
      <c r="AD6" s="12" t="s">
        <v>36</v>
      </c>
      <c r="AE6" s="12" t="s">
        <v>33</v>
      </c>
      <c r="AF6" s="12" t="s">
        <v>37</v>
      </c>
      <c r="AG6" s="13"/>
    </row>
    <row r="7" spans="1:33" ht="20" customHeight="1" x14ac:dyDescent="0.15">
      <c r="A7" s="9">
        <v>64</v>
      </c>
      <c r="B7" s="10">
        <v>75</v>
      </c>
      <c r="C7" s="11">
        <v>172</v>
      </c>
      <c r="D7" s="11">
        <v>5</v>
      </c>
      <c r="E7" s="11">
        <v>5</v>
      </c>
      <c r="F7" s="11">
        <v>0</v>
      </c>
      <c r="G7" s="12" t="s">
        <v>38</v>
      </c>
      <c r="H7" s="11">
        <v>1.2524782081600301</v>
      </c>
      <c r="I7" s="12" t="s">
        <v>33</v>
      </c>
      <c r="J7" s="11">
        <v>0</v>
      </c>
      <c r="K7" s="11">
        <v>5</v>
      </c>
      <c r="L7" s="11">
        <v>5</v>
      </c>
      <c r="M7" s="11">
        <v>35</v>
      </c>
      <c r="N7" s="11">
        <v>14.6124750841409</v>
      </c>
      <c r="O7" s="13"/>
      <c r="P7" s="11">
        <v>14.603864709148199</v>
      </c>
      <c r="Q7" s="11">
        <v>14.6124750841409</v>
      </c>
      <c r="R7" s="11">
        <v>15.598683000076599</v>
      </c>
      <c r="S7" s="11">
        <v>15.598683000076599</v>
      </c>
      <c r="T7" s="11">
        <v>15.606155834160701</v>
      </c>
      <c r="U7" s="11">
        <v>16.858815666986601</v>
      </c>
      <c r="V7" s="12" t="s">
        <v>38</v>
      </c>
      <c r="W7" s="11">
        <v>1.2524782081600301</v>
      </c>
      <c r="X7" s="12" t="s">
        <v>33</v>
      </c>
      <c r="Y7" s="11">
        <v>2</v>
      </c>
      <c r="Z7" s="11">
        <v>1</v>
      </c>
      <c r="AA7" s="12" t="s">
        <v>34</v>
      </c>
      <c r="AB7" s="12" t="s">
        <v>35</v>
      </c>
      <c r="AC7" s="13"/>
      <c r="AD7" s="12" t="s">
        <v>36</v>
      </c>
      <c r="AE7" s="12" t="s">
        <v>33</v>
      </c>
      <c r="AF7" s="12" t="s">
        <v>37</v>
      </c>
      <c r="AG7" s="13"/>
    </row>
    <row r="8" spans="1:33" ht="20" customHeight="1" x14ac:dyDescent="0.15">
      <c r="A8" s="9">
        <v>56</v>
      </c>
      <c r="B8" s="10">
        <v>64</v>
      </c>
      <c r="C8" s="11">
        <v>100</v>
      </c>
      <c r="D8" s="11">
        <v>6</v>
      </c>
      <c r="E8" s="11">
        <v>6</v>
      </c>
      <c r="F8" s="11">
        <v>0</v>
      </c>
      <c r="G8" s="12" t="s">
        <v>38</v>
      </c>
      <c r="H8" s="11">
        <v>1.5009191660210499</v>
      </c>
      <c r="I8" s="12" t="s">
        <v>33</v>
      </c>
      <c r="J8" s="11">
        <v>0</v>
      </c>
      <c r="K8" s="11">
        <v>6</v>
      </c>
      <c r="L8" s="11">
        <v>6</v>
      </c>
      <c r="M8" s="11">
        <v>32</v>
      </c>
      <c r="N8" s="11">
        <v>16.8750386671163</v>
      </c>
      <c r="O8" s="13"/>
      <c r="P8" s="11">
        <v>16.865531333955001</v>
      </c>
      <c r="Q8" s="11">
        <v>16.8750386671163</v>
      </c>
      <c r="R8" s="11">
        <v>17.856193917104999</v>
      </c>
      <c r="S8" s="11">
        <v>17.856193917104999</v>
      </c>
      <c r="T8" s="11">
        <v>17.873990625143101</v>
      </c>
      <c r="U8" s="11">
        <v>19.358733917120801</v>
      </c>
      <c r="V8" s="12" t="s">
        <v>38</v>
      </c>
      <c r="W8" s="11">
        <v>1.5009191660210499</v>
      </c>
      <c r="X8" s="12" t="s">
        <v>33</v>
      </c>
      <c r="Y8" s="11">
        <v>2</v>
      </c>
      <c r="Z8" s="11">
        <v>1</v>
      </c>
      <c r="AA8" s="12" t="s">
        <v>34</v>
      </c>
      <c r="AB8" s="12" t="s">
        <v>35</v>
      </c>
      <c r="AC8" s="13"/>
      <c r="AD8" s="12" t="s">
        <v>36</v>
      </c>
      <c r="AE8" s="12" t="s">
        <v>33</v>
      </c>
      <c r="AF8" s="12" t="s">
        <v>37</v>
      </c>
      <c r="AG8" s="13"/>
    </row>
    <row r="9" spans="1:33" ht="20" customHeight="1" x14ac:dyDescent="0.15">
      <c r="A9" s="9">
        <v>23</v>
      </c>
      <c r="B9" s="10">
        <v>35</v>
      </c>
      <c r="C9" s="11">
        <v>156</v>
      </c>
      <c r="D9" s="11">
        <v>7</v>
      </c>
      <c r="E9" s="11">
        <v>7</v>
      </c>
      <c r="F9" s="11">
        <v>0</v>
      </c>
      <c r="G9" s="12" t="s">
        <v>38</v>
      </c>
      <c r="H9" s="11">
        <v>0.95201104111038204</v>
      </c>
      <c r="I9" s="12" t="s">
        <v>33</v>
      </c>
      <c r="J9" s="11">
        <v>0</v>
      </c>
      <c r="K9" s="11">
        <v>7</v>
      </c>
      <c r="L9" s="11">
        <v>7</v>
      </c>
      <c r="M9" s="11">
        <v>68</v>
      </c>
      <c r="N9" s="11">
        <v>19.375121999997599</v>
      </c>
      <c r="O9" s="13"/>
      <c r="P9" s="11">
        <v>19.3654453339987</v>
      </c>
      <c r="Q9" s="11">
        <v>19.375121999997599</v>
      </c>
      <c r="R9" s="11">
        <v>20.356100792065298</v>
      </c>
      <c r="S9" s="11">
        <v>20.356100792065298</v>
      </c>
      <c r="T9" s="11">
        <v>20.373868625145398</v>
      </c>
      <c r="U9" s="11">
        <v>21.3153425841592</v>
      </c>
      <c r="V9" s="12" t="s">
        <v>38</v>
      </c>
      <c r="W9" s="11">
        <v>0.95201104111038204</v>
      </c>
      <c r="X9" s="12" t="s">
        <v>33</v>
      </c>
      <c r="Y9" s="11">
        <v>2</v>
      </c>
      <c r="Z9" s="11">
        <v>1</v>
      </c>
      <c r="AA9" s="12" t="s">
        <v>34</v>
      </c>
      <c r="AB9" s="12" t="s">
        <v>35</v>
      </c>
      <c r="AC9" s="13"/>
      <c r="AD9" s="12" t="s">
        <v>36</v>
      </c>
      <c r="AE9" s="12" t="s">
        <v>33</v>
      </c>
      <c r="AF9" s="12" t="s">
        <v>37</v>
      </c>
      <c r="AG9" s="13"/>
    </row>
    <row r="10" spans="1:33" ht="20" customHeight="1" x14ac:dyDescent="0.15">
      <c r="A10" s="9">
        <v>23</v>
      </c>
      <c r="B10" s="10">
        <v>37</v>
      </c>
      <c r="C10" s="11">
        <v>103</v>
      </c>
      <c r="D10" s="11">
        <v>8</v>
      </c>
      <c r="E10" s="11">
        <v>8</v>
      </c>
      <c r="F10" s="11">
        <v>0</v>
      </c>
      <c r="G10" s="12" t="s">
        <v>38</v>
      </c>
      <c r="H10" s="11">
        <v>1.1052830419503199</v>
      </c>
      <c r="I10" s="12" t="s">
        <v>33</v>
      </c>
      <c r="J10" s="11">
        <v>0</v>
      </c>
      <c r="K10" s="11">
        <v>8</v>
      </c>
      <c r="L10" s="11">
        <v>8</v>
      </c>
      <c r="M10" s="11">
        <v>45</v>
      </c>
      <c r="N10" s="11">
        <v>21.331587624969</v>
      </c>
      <c r="O10" s="13"/>
      <c r="P10" s="11">
        <v>21.322295792167999</v>
      </c>
      <c r="Q10" s="11">
        <v>21.331587624969</v>
      </c>
      <c r="R10" s="11">
        <v>22.3147325420287</v>
      </c>
      <c r="S10" s="11">
        <v>22.3147325420287</v>
      </c>
      <c r="T10" s="11">
        <v>22.323223042068999</v>
      </c>
      <c r="U10" s="11">
        <v>23.426033334108102</v>
      </c>
      <c r="V10" s="12" t="s">
        <v>38</v>
      </c>
      <c r="W10" s="11">
        <v>1.1052830419503199</v>
      </c>
      <c r="X10" s="12" t="s">
        <v>33</v>
      </c>
      <c r="Y10" s="11">
        <v>2</v>
      </c>
      <c r="Z10" s="11">
        <v>1</v>
      </c>
      <c r="AA10" s="12" t="s">
        <v>34</v>
      </c>
      <c r="AB10" s="12" t="s">
        <v>35</v>
      </c>
      <c r="AC10" s="13"/>
      <c r="AD10" s="12" t="s">
        <v>36</v>
      </c>
      <c r="AE10" s="12" t="s">
        <v>33</v>
      </c>
      <c r="AF10" s="12" t="s">
        <v>37</v>
      </c>
      <c r="AG10" s="13"/>
    </row>
    <row r="11" spans="1:33" ht="20" customHeight="1" x14ac:dyDescent="0.15">
      <c r="A11" s="9">
        <v>50</v>
      </c>
      <c r="B11" s="10">
        <v>76</v>
      </c>
      <c r="C11" s="11">
        <v>103</v>
      </c>
      <c r="D11" s="11">
        <v>9</v>
      </c>
      <c r="E11" s="11">
        <v>9</v>
      </c>
      <c r="F11" s="11">
        <v>0</v>
      </c>
      <c r="G11" s="12" t="s">
        <v>32</v>
      </c>
      <c r="H11" s="11">
        <v>0.84145700000226498</v>
      </c>
      <c r="I11" s="12" t="s">
        <v>33</v>
      </c>
      <c r="J11" s="11">
        <v>0</v>
      </c>
      <c r="K11" s="11">
        <v>9</v>
      </c>
      <c r="L11" s="11">
        <v>9</v>
      </c>
      <c r="M11" s="11">
        <v>77</v>
      </c>
      <c r="N11" s="11">
        <v>23.4433154170401</v>
      </c>
      <c r="O11" s="13"/>
      <c r="P11" s="11">
        <v>23.432918125065001</v>
      </c>
      <c r="Q11" s="11">
        <v>23.4433154170401</v>
      </c>
      <c r="R11" s="11">
        <v>24.423402792075699</v>
      </c>
      <c r="S11" s="11">
        <v>24.423402792075699</v>
      </c>
      <c r="T11" s="11">
        <v>24.440116042038401</v>
      </c>
      <c r="U11" s="11">
        <v>25.275854459032399</v>
      </c>
      <c r="V11" s="12" t="s">
        <v>32</v>
      </c>
      <c r="W11" s="11">
        <v>0.84145700000226498</v>
      </c>
      <c r="X11" s="12" t="s">
        <v>33</v>
      </c>
      <c r="Y11" s="11">
        <v>2</v>
      </c>
      <c r="Z11" s="11">
        <v>1</v>
      </c>
      <c r="AA11" s="12" t="s">
        <v>34</v>
      </c>
      <c r="AB11" s="12" t="s">
        <v>35</v>
      </c>
      <c r="AC11" s="13"/>
      <c r="AD11" s="12" t="s">
        <v>36</v>
      </c>
      <c r="AE11" s="12" t="s">
        <v>33</v>
      </c>
      <c r="AF11" s="12" t="s">
        <v>37</v>
      </c>
      <c r="AG11" s="13"/>
    </row>
    <row r="12" spans="1:33" ht="20" customHeight="1" x14ac:dyDescent="0.15">
      <c r="A12" s="9">
        <v>59</v>
      </c>
      <c r="B12" s="10">
        <v>88</v>
      </c>
      <c r="C12" s="11">
        <v>41</v>
      </c>
      <c r="D12" s="11">
        <v>10</v>
      </c>
      <c r="E12" s="11">
        <v>10</v>
      </c>
      <c r="F12" s="11">
        <v>0</v>
      </c>
      <c r="G12" s="12" t="s">
        <v>32</v>
      </c>
      <c r="H12" s="11">
        <v>1.1491694170981599</v>
      </c>
      <c r="I12" s="12" t="s">
        <v>33</v>
      </c>
      <c r="J12" s="11">
        <v>0</v>
      </c>
      <c r="K12" s="11">
        <v>10</v>
      </c>
      <c r="L12" s="11">
        <v>10</v>
      </c>
      <c r="M12" s="11">
        <v>56</v>
      </c>
      <c r="N12" s="11">
        <v>25.293404959142201</v>
      </c>
      <c r="O12" s="13"/>
      <c r="P12" s="11">
        <v>25.283295917091898</v>
      </c>
      <c r="Q12" s="11">
        <v>25.293404959142201</v>
      </c>
      <c r="R12" s="11">
        <v>26.273808249970902</v>
      </c>
      <c r="S12" s="11">
        <v>26.273808249970902</v>
      </c>
      <c r="T12" s="11">
        <v>26.2905349170323</v>
      </c>
      <c r="U12" s="11">
        <v>27.424673042027301</v>
      </c>
      <c r="V12" s="12" t="s">
        <v>32</v>
      </c>
      <c r="W12" s="11">
        <v>1.1491694170981599</v>
      </c>
      <c r="X12" s="12" t="s">
        <v>33</v>
      </c>
      <c r="Y12" s="11">
        <v>2</v>
      </c>
      <c r="Z12" s="11">
        <v>1</v>
      </c>
      <c r="AA12" s="12" t="s">
        <v>34</v>
      </c>
      <c r="AB12" s="12" t="s">
        <v>35</v>
      </c>
      <c r="AC12" s="13"/>
      <c r="AD12" s="12" t="s">
        <v>36</v>
      </c>
      <c r="AE12" s="12" t="s">
        <v>33</v>
      </c>
      <c r="AF12" s="12" t="s">
        <v>37</v>
      </c>
      <c r="AG12" s="13"/>
    </row>
    <row r="13" spans="1:33" ht="20" customHeight="1" x14ac:dyDescent="0.15">
      <c r="A13" s="9">
        <v>24</v>
      </c>
      <c r="B13" s="10">
        <v>50</v>
      </c>
      <c r="C13" s="11">
        <v>176</v>
      </c>
      <c r="D13" s="11">
        <v>11</v>
      </c>
      <c r="E13" s="11">
        <v>11</v>
      </c>
      <c r="F13" s="11">
        <v>0</v>
      </c>
      <c r="G13" s="12" t="s">
        <v>32</v>
      </c>
      <c r="H13" s="11">
        <v>1.75495166704059</v>
      </c>
      <c r="I13" s="12" t="s">
        <v>33</v>
      </c>
      <c r="J13" s="11">
        <v>0</v>
      </c>
      <c r="K13" s="11">
        <v>11</v>
      </c>
      <c r="L13" s="11">
        <v>11</v>
      </c>
      <c r="M13" s="11">
        <v>8</v>
      </c>
      <c r="N13" s="11">
        <v>27.4405773340259</v>
      </c>
      <c r="O13" s="13"/>
      <c r="P13" s="11">
        <v>27.431329667102499</v>
      </c>
      <c r="Q13" s="11">
        <v>27.4405773340259</v>
      </c>
      <c r="R13" s="11">
        <v>28.414882417069698</v>
      </c>
      <c r="S13" s="11">
        <v>28.414882417069698</v>
      </c>
      <c r="T13" s="11">
        <v>28.440559834009001</v>
      </c>
      <c r="U13" s="11">
        <v>30.174855959136</v>
      </c>
      <c r="V13" s="12" t="s">
        <v>32</v>
      </c>
      <c r="W13" s="11">
        <v>1.75495166704059</v>
      </c>
      <c r="X13" s="12" t="s">
        <v>33</v>
      </c>
      <c r="Y13" s="11">
        <v>2</v>
      </c>
      <c r="Z13" s="11">
        <v>1</v>
      </c>
      <c r="AA13" s="12" t="s">
        <v>34</v>
      </c>
      <c r="AB13" s="12" t="s">
        <v>35</v>
      </c>
      <c r="AC13" s="13"/>
      <c r="AD13" s="12" t="s">
        <v>36</v>
      </c>
      <c r="AE13" s="12" t="s">
        <v>33</v>
      </c>
      <c r="AF13" s="12" t="s">
        <v>37</v>
      </c>
      <c r="AG13" s="13"/>
    </row>
    <row r="14" spans="1:33" ht="20" customHeight="1" x14ac:dyDescent="0.15">
      <c r="A14" s="9">
        <v>49</v>
      </c>
      <c r="B14" s="10">
        <v>60</v>
      </c>
      <c r="C14" s="11">
        <v>89</v>
      </c>
      <c r="D14" s="11">
        <v>12</v>
      </c>
      <c r="E14" s="11">
        <v>12</v>
      </c>
      <c r="F14" s="11">
        <v>0</v>
      </c>
      <c r="G14" s="12" t="s">
        <v>32</v>
      </c>
      <c r="H14" s="11">
        <v>1.2497650000732401</v>
      </c>
      <c r="I14" s="12" t="s">
        <v>33</v>
      </c>
      <c r="J14" s="11">
        <v>0</v>
      </c>
      <c r="K14" s="11">
        <v>12</v>
      </c>
      <c r="L14" s="11">
        <v>12</v>
      </c>
      <c r="M14" s="11">
        <v>4</v>
      </c>
      <c r="N14" s="11">
        <v>30.190816834103298</v>
      </c>
      <c r="O14" s="13"/>
      <c r="P14" s="11">
        <v>30.181480749975901</v>
      </c>
      <c r="Q14" s="11">
        <v>30.190816834103298</v>
      </c>
      <c r="R14" s="11">
        <v>31.1660462091677</v>
      </c>
      <c r="S14" s="11">
        <v>31.1660462091677</v>
      </c>
      <c r="T14" s="11">
        <v>31.190677959006301</v>
      </c>
      <c r="U14" s="11">
        <v>32.425758917117498</v>
      </c>
      <c r="V14" s="12" t="s">
        <v>32</v>
      </c>
      <c r="W14" s="11">
        <v>1.2497650000732401</v>
      </c>
      <c r="X14" s="12" t="s">
        <v>33</v>
      </c>
      <c r="Y14" s="11">
        <v>2</v>
      </c>
      <c r="Z14" s="11">
        <v>1</v>
      </c>
      <c r="AA14" s="12" t="s">
        <v>34</v>
      </c>
      <c r="AB14" s="12" t="s">
        <v>35</v>
      </c>
      <c r="AC14" s="13"/>
      <c r="AD14" s="12" t="s">
        <v>36</v>
      </c>
      <c r="AE14" s="12" t="s">
        <v>33</v>
      </c>
      <c r="AF14" s="12" t="s">
        <v>37</v>
      </c>
      <c r="AG14" s="13"/>
    </row>
    <row r="15" spans="1:33" ht="20" customHeight="1" x14ac:dyDescent="0.15">
      <c r="A15" s="9">
        <v>39</v>
      </c>
      <c r="B15" s="10">
        <v>44</v>
      </c>
      <c r="C15" s="11">
        <v>73</v>
      </c>
      <c r="D15" s="11">
        <v>13</v>
      </c>
      <c r="E15" s="11">
        <v>13</v>
      </c>
      <c r="F15" s="11">
        <v>0</v>
      </c>
      <c r="G15" s="12" t="s">
        <v>38</v>
      </c>
      <c r="H15" s="11">
        <v>1.3972752499394101</v>
      </c>
      <c r="I15" s="12" t="s">
        <v>33</v>
      </c>
      <c r="J15" s="11">
        <v>0</v>
      </c>
      <c r="K15" s="11">
        <v>13</v>
      </c>
      <c r="L15" s="11">
        <v>13</v>
      </c>
      <c r="M15" s="11">
        <v>16</v>
      </c>
      <c r="N15" s="11">
        <v>32.443045834079399</v>
      </c>
      <c r="O15" s="13"/>
      <c r="P15" s="11">
        <v>32.433041417039902</v>
      </c>
      <c r="Q15" s="11">
        <v>32.443045834079399</v>
      </c>
      <c r="R15" s="11">
        <v>33.422310458961903</v>
      </c>
      <c r="S15" s="11">
        <v>33.422310458961903</v>
      </c>
      <c r="T15" s="11">
        <v>33.440595500171199</v>
      </c>
      <c r="U15" s="11">
        <v>34.824708667118102</v>
      </c>
      <c r="V15" s="12" t="s">
        <v>38</v>
      </c>
      <c r="W15" s="11">
        <v>1.3972752499394101</v>
      </c>
      <c r="X15" s="12" t="s">
        <v>33</v>
      </c>
      <c r="Y15" s="11">
        <v>2</v>
      </c>
      <c r="Z15" s="11">
        <v>1</v>
      </c>
      <c r="AA15" s="12" t="s">
        <v>34</v>
      </c>
      <c r="AB15" s="12" t="s">
        <v>35</v>
      </c>
      <c r="AC15" s="13"/>
      <c r="AD15" s="12" t="s">
        <v>36</v>
      </c>
      <c r="AE15" s="12" t="s">
        <v>33</v>
      </c>
      <c r="AF15" s="12" t="s">
        <v>37</v>
      </c>
      <c r="AG15" s="13"/>
    </row>
    <row r="16" spans="1:33" ht="20" customHeight="1" x14ac:dyDescent="0.15">
      <c r="A16" s="9">
        <v>56</v>
      </c>
      <c r="B16" s="10">
        <v>71</v>
      </c>
      <c r="C16" s="11">
        <v>133</v>
      </c>
      <c r="D16" s="11">
        <v>14</v>
      </c>
      <c r="E16" s="11">
        <v>14</v>
      </c>
      <c r="F16" s="11">
        <v>0</v>
      </c>
      <c r="G16" s="12" t="s">
        <v>32</v>
      </c>
      <c r="H16" s="11">
        <v>1.8525942079722899</v>
      </c>
      <c r="I16" s="12" t="s">
        <v>33</v>
      </c>
      <c r="J16" s="11">
        <v>0</v>
      </c>
      <c r="K16" s="11">
        <v>14</v>
      </c>
      <c r="L16" s="11">
        <v>14</v>
      </c>
      <c r="M16" s="11">
        <v>53</v>
      </c>
      <c r="N16" s="11">
        <v>34.841837499989197</v>
      </c>
      <c r="O16" s="13"/>
      <c r="P16" s="11">
        <v>34.832856459077497</v>
      </c>
      <c r="Q16" s="11">
        <v>34.841837499989197</v>
      </c>
      <c r="R16" s="11">
        <v>35.815086584072603</v>
      </c>
      <c r="S16" s="11">
        <v>35.815086584072603</v>
      </c>
      <c r="T16" s="11">
        <v>35.840636875014802</v>
      </c>
      <c r="U16" s="11">
        <v>37.675306959077702</v>
      </c>
      <c r="V16" s="12" t="s">
        <v>32</v>
      </c>
      <c r="W16" s="11">
        <v>1.8525942079722899</v>
      </c>
      <c r="X16" s="12" t="s">
        <v>33</v>
      </c>
      <c r="Y16" s="11">
        <v>2</v>
      </c>
      <c r="Z16" s="11">
        <v>1</v>
      </c>
      <c r="AA16" s="12" t="s">
        <v>34</v>
      </c>
      <c r="AB16" s="12" t="s">
        <v>35</v>
      </c>
      <c r="AC16" s="13"/>
      <c r="AD16" s="12" t="s">
        <v>36</v>
      </c>
      <c r="AE16" s="12" t="s">
        <v>33</v>
      </c>
      <c r="AF16" s="12" t="s">
        <v>37</v>
      </c>
      <c r="AG16" s="13"/>
    </row>
    <row r="17" spans="1:33" ht="20" customHeight="1" x14ac:dyDescent="0.15">
      <c r="A17" s="9">
        <v>60</v>
      </c>
      <c r="B17" s="10">
        <v>75</v>
      </c>
      <c r="C17" s="11">
        <v>86</v>
      </c>
      <c r="D17" s="11">
        <v>15</v>
      </c>
      <c r="E17" s="11">
        <v>15</v>
      </c>
      <c r="F17" s="11">
        <v>0</v>
      </c>
      <c r="G17" s="12" t="s">
        <v>38</v>
      </c>
      <c r="H17" s="11">
        <v>1.12892079190351</v>
      </c>
      <c r="I17" s="12" t="s">
        <v>33</v>
      </c>
      <c r="J17" s="11">
        <v>0</v>
      </c>
      <c r="K17" s="11">
        <v>15</v>
      </c>
      <c r="L17" s="11">
        <v>15</v>
      </c>
      <c r="M17" s="11">
        <v>38</v>
      </c>
      <c r="N17" s="11">
        <v>37.692269874969497</v>
      </c>
      <c r="O17" s="13"/>
      <c r="P17" s="11">
        <v>37.6823803749867</v>
      </c>
      <c r="Q17" s="11">
        <v>37.692269874969497</v>
      </c>
      <c r="R17" s="11">
        <v>38.672655709087898</v>
      </c>
      <c r="S17" s="11">
        <v>38.672655709087898</v>
      </c>
      <c r="T17" s="11">
        <v>38.690675875171998</v>
      </c>
      <c r="U17" s="11">
        <v>39.808779709041097</v>
      </c>
      <c r="V17" s="12" t="s">
        <v>38</v>
      </c>
      <c r="W17" s="11">
        <v>1.12892079190351</v>
      </c>
      <c r="X17" s="12" t="s">
        <v>33</v>
      </c>
      <c r="Y17" s="11">
        <v>2</v>
      </c>
      <c r="Z17" s="11">
        <v>1</v>
      </c>
      <c r="AA17" s="12" t="s">
        <v>34</v>
      </c>
      <c r="AB17" s="12" t="s">
        <v>35</v>
      </c>
      <c r="AC17" s="13"/>
      <c r="AD17" s="12" t="s">
        <v>36</v>
      </c>
      <c r="AE17" s="12" t="s">
        <v>33</v>
      </c>
      <c r="AF17" s="12" t="s">
        <v>37</v>
      </c>
      <c r="AG17" s="13"/>
    </row>
    <row r="18" spans="1:33" ht="20" customHeight="1" x14ac:dyDescent="0.15">
      <c r="A18" s="9">
        <v>11</v>
      </c>
      <c r="B18" s="10">
        <v>18</v>
      </c>
      <c r="C18" s="11">
        <v>28</v>
      </c>
      <c r="D18" s="11">
        <v>16</v>
      </c>
      <c r="E18" s="11">
        <v>16</v>
      </c>
      <c r="F18" s="11">
        <v>0</v>
      </c>
      <c r="G18" s="12" t="s">
        <v>32</v>
      </c>
      <c r="H18" s="11">
        <v>1.3030084581114401</v>
      </c>
      <c r="I18" s="12" t="s">
        <v>33</v>
      </c>
      <c r="J18" s="11">
        <v>0</v>
      </c>
      <c r="K18" s="11">
        <v>16</v>
      </c>
      <c r="L18" s="11">
        <v>16</v>
      </c>
      <c r="M18" s="11">
        <v>15</v>
      </c>
      <c r="N18" s="11">
        <v>39.825497459154597</v>
      </c>
      <c r="O18" s="13"/>
      <c r="P18" s="11">
        <v>39.815812584012797</v>
      </c>
      <c r="Q18" s="11">
        <v>39.825497459154597</v>
      </c>
      <c r="R18" s="11">
        <v>40.805479959119097</v>
      </c>
      <c r="S18" s="11">
        <v>40.805479959119097</v>
      </c>
      <c r="T18" s="11">
        <v>40.823951959144303</v>
      </c>
      <c r="U18" s="11">
        <v>42.115788375027499</v>
      </c>
      <c r="V18" s="12" t="s">
        <v>32</v>
      </c>
      <c r="W18" s="11">
        <v>1.3030084581114401</v>
      </c>
      <c r="X18" s="12" t="s">
        <v>33</v>
      </c>
      <c r="Y18" s="11">
        <v>2</v>
      </c>
      <c r="Z18" s="11">
        <v>1</v>
      </c>
      <c r="AA18" s="12" t="s">
        <v>34</v>
      </c>
      <c r="AB18" s="12" t="s">
        <v>35</v>
      </c>
      <c r="AC18" s="13"/>
      <c r="AD18" s="12" t="s">
        <v>36</v>
      </c>
      <c r="AE18" s="12" t="s">
        <v>33</v>
      </c>
      <c r="AF18" s="12" t="s">
        <v>37</v>
      </c>
      <c r="AG18" s="13"/>
    </row>
    <row r="19" spans="1:33" ht="20" customHeight="1" x14ac:dyDescent="0.15">
      <c r="A19" s="9">
        <v>20</v>
      </c>
      <c r="B19" s="10">
        <v>26</v>
      </c>
      <c r="C19" s="11">
        <v>165</v>
      </c>
      <c r="D19" s="11">
        <v>17</v>
      </c>
      <c r="E19" s="11">
        <v>17</v>
      </c>
      <c r="F19" s="11">
        <v>0</v>
      </c>
      <c r="G19" s="12" t="s">
        <v>32</v>
      </c>
      <c r="H19" s="11">
        <v>1.3442959580570499</v>
      </c>
      <c r="I19" s="12" t="s">
        <v>33</v>
      </c>
      <c r="J19" s="11">
        <v>0</v>
      </c>
      <c r="K19" s="11">
        <v>17</v>
      </c>
      <c r="L19" s="11">
        <v>17</v>
      </c>
      <c r="M19" s="11">
        <v>87</v>
      </c>
      <c r="N19" s="11">
        <v>42.133599624969101</v>
      </c>
      <c r="O19" s="13"/>
      <c r="P19" s="11">
        <v>42.122336416970903</v>
      </c>
      <c r="Q19" s="11">
        <v>42.133599624969101</v>
      </c>
      <c r="R19" s="11">
        <v>43.115191624965497</v>
      </c>
      <c r="S19" s="11">
        <v>43.115191624965497</v>
      </c>
      <c r="T19" s="11">
        <v>43.128759125014803</v>
      </c>
      <c r="U19" s="11">
        <v>44.465824458980897</v>
      </c>
      <c r="V19" s="12" t="s">
        <v>32</v>
      </c>
      <c r="W19" s="11">
        <v>1.3442959580570499</v>
      </c>
      <c r="X19" s="12" t="s">
        <v>33</v>
      </c>
      <c r="Y19" s="11">
        <v>2</v>
      </c>
      <c r="Z19" s="11">
        <v>1</v>
      </c>
      <c r="AA19" s="12" t="s">
        <v>34</v>
      </c>
      <c r="AB19" s="12" t="s">
        <v>35</v>
      </c>
      <c r="AC19" s="13"/>
      <c r="AD19" s="12" t="s">
        <v>36</v>
      </c>
      <c r="AE19" s="12" t="s">
        <v>33</v>
      </c>
      <c r="AF19" s="12" t="s">
        <v>37</v>
      </c>
      <c r="AG19" s="13"/>
    </row>
    <row r="20" spans="1:33" ht="20" customHeight="1" x14ac:dyDescent="0.15">
      <c r="A20" s="9">
        <v>24</v>
      </c>
      <c r="B20" s="10">
        <v>33</v>
      </c>
      <c r="C20" s="11">
        <v>79</v>
      </c>
      <c r="D20" s="11">
        <v>18</v>
      </c>
      <c r="E20" s="11">
        <v>18</v>
      </c>
      <c r="F20" s="11">
        <v>0</v>
      </c>
      <c r="G20" s="12" t="s">
        <v>38</v>
      </c>
      <c r="H20" s="11">
        <v>1.0436870830599201</v>
      </c>
      <c r="I20" s="12" t="s">
        <v>33</v>
      </c>
      <c r="J20" s="11">
        <v>0</v>
      </c>
      <c r="K20" s="11">
        <v>18</v>
      </c>
      <c r="L20" s="11">
        <v>18</v>
      </c>
      <c r="M20" s="11">
        <v>70</v>
      </c>
      <c r="N20" s="11">
        <v>44.482419584179297</v>
      </c>
      <c r="O20" s="13"/>
      <c r="P20" s="11">
        <v>44.472924542147702</v>
      </c>
      <c r="Q20" s="11">
        <v>44.482419584179297</v>
      </c>
      <c r="R20" s="11">
        <v>45.464664000086501</v>
      </c>
      <c r="S20" s="11">
        <v>45.464664000086501</v>
      </c>
      <c r="T20" s="11">
        <v>45.478953875135602</v>
      </c>
      <c r="U20" s="11">
        <v>46.515842042164898</v>
      </c>
      <c r="V20" s="12" t="s">
        <v>38</v>
      </c>
      <c r="W20" s="11">
        <v>1.0436870830599201</v>
      </c>
      <c r="X20" s="12" t="s">
        <v>33</v>
      </c>
      <c r="Y20" s="11">
        <v>2</v>
      </c>
      <c r="Z20" s="11">
        <v>1</v>
      </c>
      <c r="AA20" s="12" t="s">
        <v>34</v>
      </c>
      <c r="AB20" s="12" t="s">
        <v>35</v>
      </c>
      <c r="AC20" s="13"/>
      <c r="AD20" s="12" t="s">
        <v>36</v>
      </c>
      <c r="AE20" s="12" t="s">
        <v>33</v>
      </c>
      <c r="AF20" s="12" t="s">
        <v>37</v>
      </c>
      <c r="AG20" s="13"/>
    </row>
    <row r="21" spans="1:33" ht="20" customHeight="1" x14ac:dyDescent="0.15">
      <c r="A21" s="9">
        <v>17</v>
      </c>
      <c r="B21" s="10">
        <v>33</v>
      </c>
      <c r="C21" s="11">
        <v>167</v>
      </c>
      <c r="D21" s="11">
        <v>19</v>
      </c>
      <c r="E21" s="11">
        <v>19</v>
      </c>
      <c r="F21" s="11">
        <v>0</v>
      </c>
      <c r="G21" s="12" t="s">
        <v>32</v>
      </c>
      <c r="H21" s="11">
        <v>0.85632633301429495</v>
      </c>
      <c r="I21" s="12" t="s">
        <v>33</v>
      </c>
      <c r="J21" s="11">
        <v>0</v>
      </c>
      <c r="K21" s="11">
        <v>19</v>
      </c>
      <c r="L21" s="11">
        <v>19</v>
      </c>
      <c r="M21" s="11">
        <v>85</v>
      </c>
      <c r="N21" s="11">
        <v>46.5317287500948</v>
      </c>
      <c r="O21" s="13"/>
      <c r="P21" s="11">
        <v>46.522269041976003</v>
      </c>
      <c r="Q21" s="11">
        <v>46.5317287500948</v>
      </c>
      <c r="R21" s="11">
        <v>47.515152500010998</v>
      </c>
      <c r="S21" s="11">
        <v>47.515152500010998</v>
      </c>
      <c r="T21" s="11">
        <v>47.522133541991899</v>
      </c>
      <c r="U21" s="11">
        <v>48.375880833948003</v>
      </c>
      <c r="V21" s="12" t="s">
        <v>32</v>
      </c>
      <c r="W21" s="11">
        <v>0.85632633301429495</v>
      </c>
      <c r="X21" s="12" t="s">
        <v>33</v>
      </c>
      <c r="Y21" s="11">
        <v>2</v>
      </c>
      <c r="Z21" s="11">
        <v>1</v>
      </c>
      <c r="AA21" s="12" t="s">
        <v>34</v>
      </c>
      <c r="AB21" s="12" t="s">
        <v>35</v>
      </c>
      <c r="AC21" s="13"/>
      <c r="AD21" s="12" t="s">
        <v>36</v>
      </c>
      <c r="AE21" s="12" t="s">
        <v>33</v>
      </c>
      <c r="AF21" s="12" t="s">
        <v>37</v>
      </c>
      <c r="AG21" s="13"/>
    </row>
    <row r="22" spans="1:33" ht="20" customHeight="1" x14ac:dyDescent="0.15">
      <c r="A22" s="9">
        <v>57</v>
      </c>
      <c r="B22" s="10">
        <v>66</v>
      </c>
      <c r="C22" s="11">
        <v>37</v>
      </c>
      <c r="D22" s="11">
        <v>20</v>
      </c>
      <c r="E22" s="11">
        <v>20</v>
      </c>
      <c r="F22" s="11">
        <v>0</v>
      </c>
      <c r="G22" s="12" t="s">
        <v>38</v>
      </c>
      <c r="H22" s="11">
        <v>1.2685362501069899</v>
      </c>
      <c r="I22" s="12" t="s">
        <v>33</v>
      </c>
      <c r="J22" s="11">
        <v>0</v>
      </c>
      <c r="K22" s="11">
        <v>20</v>
      </c>
      <c r="L22" s="11">
        <v>20</v>
      </c>
      <c r="M22" s="11">
        <v>99</v>
      </c>
      <c r="N22" s="11">
        <v>48.3934312921483</v>
      </c>
      <c r="O22" s="13"/>
      <c r="P22" s="11">
        <v>48.384091292042299</v>
      </c>
      <c r="Q22" s="11">
        <v>48.3934312921483</v>
      </c>
      <c r="R22" s="11">
        <v>49.373792459024102</v>
      </c>
      <c r="S22" s="11">
        <v>49.373792459024102</v>
      </c>
      <c r="T22" s="11">
        <v>49.390401334036099</v>
      </c>
      <c r="U22" s="11">
        <v>50.648880042135701</v>
      </c>
      <c r="V22" s="12" t="s">
        <v>38</v>
      </c>
      <c r="W22" s="11">
        <v>1.2685362501069899</v>
      </c>
      <c r="X22" s="12" t="s">
        <v>33</v>
      </c>
      <c r="Y22" s="11">
        <v>2</v>
      </c>
      <c r="Z22" s="11">
        <v>1</v>
      </c>
      <c r="AA22" s="12" t="s">
        <v>34</v>
      </c>
      <c r="AB22" s="12" t="s">
        <v>35</v>
      </c>
      <c r="AC22" s="13"/>
      <c r="AD22" s="12" t="s">
        <v>36</v>
      </c>
      <c r="AE22" s="12" t="s">
        <v>33</v>
      </c>
      <c r="AF22" s="12" t="s">
        <v>37</v>
      </c>
      <c r="AG22" s="13"/>
    </row>
    <row r="23" spans="1:33" ht="20" customHeight="1" x14ac:dyDescent="0.15">
      <c r="A23" s="9">
        <v>62</v>
      </c>
      <c r="B23" s="10">
        <v>91</v>
      </c>
      <c r="C23" s="11">
        <v>148</v>
      </c>
      <c r="D23" s="11">
        <v>21</v>
      </c>
      <c r="E23" s="11">
        <v>21</v>
      </c>
      <c r="F23" s="11">
        <v>0</v>
      </c>
      <c r="G23" s="12" t="s">
        <v>32</v>
      </c>
      <c r="H23" s="11">
        <v>1.5350582080427599</v>
      </c>
      <c r="I23" s="12" t="s">
        <v>33</v>
      </c>
      <c r="J23" s="11">
        <v>0</v>
      </c>
      <c r="K23" s="11">
        <v>21</v>
      </c>
      <c r="L23" s="11">
        <v>21</v>
      </c>
      <c r="M23" s="11">
        <v>47</v>
      </c>
      <c r="N23" s="11">
        <v>50.665072417119497</v>
      </c>
      <c r="O23" s="13"/>
      <c r="P23" s="11">
        <v>50.655569750117103</v>
      </c>
      <c r="Q23" s="11">
        <v>50.665072417119497</v>
      </c>
      <c r="R23" s="11">
        <v>51.648281375179103</v>
      </c>
      <c r="S23" s="11">
        <v>51.648281375179103</v>
      </c>
      <c r="T23" s="11">
        <v>51.656088042073002</v>
      </c>
      <c r="U23" s="11">
        <v>53.191959625110002</v>
      </c>
      <c r="V23" s="12" t="s">
        <v>32</v>
      </c>
      <c r="W23" s="11">
        <v>1.5350582080427599</v>
      </c>
      <c r="X23" s="12" t="s">
        <v>33</v>
      </c>
      <c r="Y23" s="11">
        <v>2</v>
      </c>
      <c r="Z23" s="11">
        <v>1</v>
      </c>
      <c r="AA23" s="12" t="s">
        <v>34</v>
      </c>
      <c r="AB23" s="12" t="s">
        <v>35</v>
      </c>
      <c r="AC23" s="13"/>
      <c r="AD23" s="12" t="s">
        <v>36</v>
      </c>
      <c r="AE23" s="12" t="s">
        <v>33</v>
      </c>
      <c r="AF23" s="12" t="s">
        <v>37</v>
      </c>
      <c r="AG23" s="13"/>
    </row>
    <row r="24" spans="1:33" ht="20" customHeight="1" x14ac:dyDescent="0.15">
      <c r="A24" s="9">
        <v>11</v>
      </c>
      <c r="B24" s="10">
        <v>30</v>
      </c>
      <c r="C24" s="11">
        <v>7</v>
      </c>
      <c r="D24" s="11">
        <v>22</v>
      </c>
      <c r="E24" s="11">
        <v>22</v>
      </c>
      <c r="F24" s="11">
        <v>0</v>
      </c>
      <c r="G24" s="12" t="s">
        <v>32</v>
      </c>
      <c r="H24" s="11">
        <v>1.8082725829444799</v>
      </c>
      <c r="I24" s="12" t="s">
        <v>33</v>
      </c>
      <c r="J24" s="11">
        <v>0</v>
      </c>
      <c r="K24" s="11">
        <v>22</v>
      </c>
      <c r="L24" s="11">
        <v>22</v>
      </c>
      <c r="M24" s="11">
        <v>0</v>
      </c>
      <c r="N24" s="11">
        <v>53.207884459057802</v>
      </c>
      <c r="O24" s="13"/>
      <c r="P24" s="11">
        <v>53.198670458979898</v>
      </c>
      <c r="Q24" s="11">
        <v>53.207884459057802</v>
      </c>
      <c r="R24" s="11">
        <v>54.189858334138997</v>
      </c>
      <c r="S24" s="11">
        <v>54.189858334138997</v>
      </c>
      <c r="T24" s="11">
        <v>54.207020875066497</v>
      </c>
      <c r="U24" s="11">
        <v>56.007812250172698</v>
      </c>
      <c r="V24" s="12" t="s">
        <v>32</v>
      </c>
      <c r="W24" s="11">
        <v>1.8082725829444799</v>
      </c>
      <c r="X24" s="12" t="s">
        <v>33</v>
      </c>
      <c r="Y24" s="11">
        <v>2</v>
      </c>
      <c r="Z24" s="11">
        <v>1</v>
      </c>
      <c r="AA24" s="12" t="s">
        <v>34</v>
      </c>
      <c r="AB24" s="12" t="s">
        <v>35</v>
      </c>
      <c r="AC24" s="13"/>
      <c r="AD24" s="12" t="s">
        <v>36</v>
      </c>
      <c r="AE24" s="12" t="s">
        <v>33</v>
      </c>
      <c r="AF24" s="12" t="s">
        <v>37</v>
      </c>
      <c r="AG24" s="13"/>
    </row>
    <row r="25" spans="1:33" ht="20" customHeight="1" x14ac:dyDescent="0.15">
      <c r="A25" s="9">
        <v>15</v>
      </c>
      <c r="B25" s="10">
        <v>35</v>
      </c>
      <c r="C25" s="11">
        <v>13</v>
      </c>
      <c r="D25" s="11">
        <v>23</v>
      </c>
      <c r="E25" s="11">
        <v>23</v>
      </c>
      <c r="F25" s="11">
        <v>0</v>
      </c>
      <c r="G25" s="12" t="s">
        <v>32</v>
      </c>
      <c r="H25" s="11">
        <v>0.73660733294673297</v>
      </c>
      <c r="I25" s="12" t="s">
        <v>33</v>
      </c>
      <c r="J25" s="11">
        <v>0</v>
      </c>
      <c r="K25" s="11">
        <v>23</v>
      </c>
      <c r="L25" s="11">
        <v>23</v>
      </c>
      <c r="M25" s="11">
        <v>1</v>
      </c>
      <c r="N25" s="11">
        <v>56.024380125105402</v>
      </c>
      <c r="O25" s="13"/>
      <c r="P25" s="11">
        <v>56.0146117920522</v>
      </c>
      <c r="Q25" s="11">
        <v>56.024380125105402</v>
      </c>
      <c r="R25" s="11">
        <v>56.997608958976301</v>
      </c>
      <c r="S25" s="11">
        <v>56.997608958976301</v>
      </c>
      <c r="T25" s="11">
        <v>57.0238459999673</v>
      </c>
      <c r="U25" s="11">
        <v>57.742418500129098</v>
      </c>
      <c r="V25" s="12" t="s">
        <v>32</v>
      </c>
      <c r="W25" s="11">
        <v>0.73660733294673297</v>
      </c>
      <c r="X25" s="12" t="s">
        <v>33</v>
      </c>
      <c r="Y25" s="11">
        <v>2</v>
      </c>
      <c r="Z25" s="11">
        <v>1</v>
      </c>
      <c r="AA25" s="12" t="s">
        <v>34</v>
      </c>
      <c r="AB25" s="12" t="s">
        <v>35</v>
      </c>
      <c r="AC25" s="13"/>
      <c r="AD25" s="12" t="s">
        <v>36</v>
      </c>
      <c r="AE25" s="12" t="s">
        <v>33</v>
      </c>
      <c r="AF25" s="12" t="s">
        <v>37</v>
      </c>
      <c r="AG25" s="13"/>
    </row>
    <row r="26" spans="1:33" ht="20" customHeight="1" x14ac:dyDescent="0.15">
      <c r="A26" s="9">
        <v>37</v>
      </c>
      <c r="B26" s="10">
        <v>58</v>
      </c>
      <c r="C26" s="11">
        <v>132</v>
      </c>
      <c r="D26" s="11">
        <v>24</v>
      </c>
      <c r="E26" s="11">
        <v>24</v>
      </c>
      <c r="F26" s="11">
        <v>0</v>
      </c>
      <c r="G26" s="12" t="s">
        <v>32</v>
      </c>
      <c r="H26" s="11">
        <v>1.2126654998865001</v>
      </c>
      <c r="I26" s="12" t="s">
        <v>33</v>
      </c>
      <c r="J26" s="11">
        <v>0</v>
      </c>
      <c r="K26" s="11">
        <v>24</v>
      </c>
      <c r="L26" s="11">
        <v>24</v>
      </c>
      <c r="M26" s="11">
        <v>94</v>
      </c>
      <c r="N26" s="11">
        <v>57.759732624981602</v>
      </c>
      <c r="O26" s="13"/>
      <c r="P26" s="11">
        <v>57.749537375057102</v>
      </c>
      <c r="Q26" s="11">
        <v>57.759732624981602</v>
      </c>
      <c r="R26" s="11">
        <v>58.739419625140698</v>
      </c>
      <c r="S26" s="11">
        <v>58.739419625140698</v>
      </c>
      <c r="T26" s="11">
        <v>58.757170542143299</v>
      </c>
      <c r="U26" s="11">
        <v>59.958901709178498</v>
      </c>
      <c r="V26" s="12" t="s">
        <v>32</v>
      </c>
      <c r="W26" s="11">
        <v>1.2126654998865001</v>
      </c>
      <c r="X26" s="12" t="s">
        <v>33</v>
      </c>
      <c r="Y26" s="11">
        <v>2</v>
      </c>
      <c r="Z26" s="11">
        <v>1</v>
      </c>
      <c r="AA26" s="12" t="s">
        <v>34</v>
      </c>
      <c r="AB26" s="12" t="s">
        <v>35</v>
      </c>
      <c r="AC26" s="13"/>
      <c r="AD26" s="12" t="s">
        <v>36</v>
      </c>
      <c r="AE26" s="12" t="s">
        <v>33</v>
      </c>
      <c r="AF26" s="12" t="s">
        <v>37</v>
      </c>
      <c r="AG26" s="13"/>
    </row>
    <row r="27" spans="1:33" ht="20" customHeight="1" x14ac:dyDescent="0.15">
      <c r="A27" s="9">
        <v>73</v>
      </c>
      <c r="B27" s="10">
        <v>100</v>
      </c>
      <c r="C27" s="11">
        <v>143</v>
      </c>
      <c r="D27" s="11">
        <v>25</v>
      </c>
      <c r="E27" s="11">
        <v>25</v>
      </c>
      <c r="F27" s="11">
        <v>0</v>
      </c>
      <c r="G27" s="12" t="s">
        <v>32</v>
      </c>
      <c r="H27" s="11">
        <v>0.96062787389382698</v>
      </c>
      <c r="I27" s="12" t="s">
        <v>33</v>
      </c>
      <c r="J27" s="11">
        <v>0</v>
      </c>
      <c r="K27" s="11">
        <v>25</v>
      </c>
      <c r="L27" s="11">
        <v>25</v>
      </c>
      <c r="M27" s="11">
        <v>19</v>
      </c>
      <c r="N27" s="11">
        <v>59.976358416955897</v>
      </c>
      <c r="O27" s="13"/>
      <c r="P27" s="11">
        <v>59.966468125116101</v>
      </c>
      <c r="Q27" s="11">
        <v>59.976358416955897</v>
      </c>
      <c r="R27" s="11">
        <v>60.955462625017397</v>
      </c>
      <c r="S27" s="11">
        <v>60.955462625017397</v>
      </c>
      <c r="T27" s="11">
        <v>60.9738569590263</v>
      </c>
      <c r="U27" s="11">
        <v>61.925600709160797</v>
      </c>
      <c r="V27" s="12" t="s">
        <v>32</v>
      </c>
      <c r="W27" s="11">
        <v>0.96062787389382698</v>
      </c>
      <c r="X27" s="12" t="s">
        <v>33</v>
      </c>
      <c r="Y27" s="11">
        <v>2</v>
      </c>
      <c r="Z27" s="11">
        <v>1</v>
      </c>
      <c r="AA27" s="12" t="s">
        <v>34</v>
      </c>
      <c r="AB27" s="12" t="s">
        <v>35</v>
      </c>
      <c r="AC27" s="13"/>
      <c r="AD27" s="12" t="s">
        <v>36</v>
      </c>
      <c r="AE27" s="12" t="s">
        <v>33</v>
      </c>
      <c r="AF27" s="12" t="s">
        <v>37</v>
      </c>
      <c r="AG27" s="13"/>
    </row>
    <row r="28" spans="1:33" ht="20" customHeight="1" x14ac:dyDescent="0.15">
      <c r="A28" s="9">
        <v>11</v>
      </c>
      <c r="B28" s="10">
        <v>36</v>
      </c>
      <c r="C28" s="11">
        <v>94</v>
      </c>
      <c r="D28" s="11">
        <v>26</v>
      </c>
      <c r="E28" s="11">
        <v>26</v>
      </c>
      <c r="F28" s="11">
        <v>0</v>
      </c>
      <c r="G28" s="12" t="s">
        <v>32</v>
      </c>
      <c r="H28" s="11">
        <v>0.92261958285234902</v>
      </c>
      <c r="I28" s="12" t="s">
        <v>33</v>
      </c>
      <c r="J28" s="11">
        <v>0</v>
      </c>
      <c r="K28" s="11">
        <v>26</v>
      </c>
      <c r="L28" s="11">
        <v>26</v>
      </c>
      <c r="M28" s="11">
        <v>48</v>
      </c>
      <c r="N28" s="11">
        <v>61.943168209167197</v>
      </c>
      <c r="O28" s="13"/>
      <c r="P28" s="11">
        <v>61.933725000126302</v>
      </c>
      <c r="Q28" s="11">
        <v>61.943168209167197</v>
      </c>
      <c r="R28" s="11">
        <v>62.923474709037698</v>
      </c>
      <c r="S28" s="11">
        <v>62.923474709037698</v>
      </c>
      <c r="T28" s="11">
        <v>62.940202417084997</v>
      </c>
      <c r="U28" s="11">
        <v>63.848739084089203</v>
      </c>
      <c r="V28" s="12" t="s">
        <v>32</v>
      </c>
      <c r="W28" s="11">
        <v>0.92261958285234902</v>
      </c>
      <c r="X28" s="12" t="s">
        <v>33</v>
      </c>
      <c r="Y28" s="11">
        <v>2</v>
      </c>
      <c r="Z28" s="11">
        <v>1</v>
      </c>
      <c r="AA28" s="12" t="s">
        <v>34</v>
      </c>
      <c r="AB28" s="12" t="s">
        <v>35</v>
      </c>
      <c r="AC28" s="13"/>
      <c r="AD28" s="12" t="s">
        <v>36</v>
      </c>
      <c r="AE28" s="12" t="s">
        <v>33</v>
      </c>
      <c r="AF28" s="12" t="s">
        <v>37</v>
      </c>
      <c r="AG28" s="13"/>
    </row>
    <row r="29" spans="1:33" ht="20" customHeight="1" x14ac:dyDescent="0.15">
      <c r="A29" s="9">
        <v>49</v>
      </c>
      <c r="B29" s="10">
        <v>72</v>
      </c>
      <c r="C29" s="11">
        <v>168</v>
      </c>
      <c r="D29" s="11">
        <v>27</v>
      </c>
      <c r="E29" s="11">
        <v>27</v>
      </c>
      <c r="F29" s="11">
        <v>0</v>
      </c>
      <c r="G29" s="12" t="s">
        <v>32</v>
      </c>
      <c r="H29" s="11">
        <v>0.89467308297753301</v>
      </c>
      <c r="I29" s="12" t="s">
        <v>33</v>
      </c>
      <c r="J29" s="11">
        <v>0</v>
      </c>
      <c r="K29" s="11">
        <v>27</v>
      </c>
      <c r="L29" s="11">
        <v>27</v>
      </c>
      <c r="M29" s="11">
        <v>72</v>
      </c>
      <c r="N29" s="11">
        <v>63.8649524170905</v>
      </c>
      <c r="O29" s="13"/>
      <c r="P29" s="11">
        <v>63.855345834046602</v>
      </c>
      <c r="Q29" s="11">
        <v>63.8649524170905</v>
      </c>
      <c r="R29" s="11">
        <v>64.848325917031602</v>
      </c>
      <c r="S29" s="11">
        <v>64.848325917031602</v>
      </c>
      <c r="T29" s="11">
        <v>64.856052167015207</v>
      </c>
      <c r="U29" s="11">
        <v>65.749010792002096</v>
      </c>
      <c r="V29" s="12" t="s">
        <v>32</v>
      </c>
      <c r="W29" s="11">
        <v>0.89467308297753301</v>
      </c>
      <c r="X29" s="12" t="s">
        <v>33</v>
      </c>
      <c r="Y29" s="11">
        <v>2</v>
      </c>
      <c r="Z29" s="11">
        <v>1</v>
      </c>
      <c r="AA29" s="12" t="s">
        <v>34</v>
      </c>
      <c r="AB29" s="12" t="s">
        <v>35</v>
      </c>
      <c r="AC29" s="13"/>
      <c r="AD29" s="12" t="s">
        <v>36</v>
      </c>
      <c r="AE29" s="12" t="s">
        <v>33</v>
      </c>
      <c r="AF29" s="12" t="s">
        <v>37</v>
      </c>
      <c r="AG29" s="13"/>
    </row>
    <row r="30" spans="1:33" ht="20" customHeight="1" x14ac:dyDescent="0.15">
      <c r="A30" s="9">
        <v>57</v>
      </c>
      <c r="B30" s="10">
        <v>70</v>
      </c>
      <c r="C30" s="11">
        <v>120</v>
      </c>
      <c r="D30" s="11">
        <v>28</v>
      </c>
      <c r="E30" s="11">
        <v>28</v>
      </c>
      <c r="F30" s="11">
        <v>0</v>
      </c>
      <c r="G30" s="12" t="s">
        <v>32</v>
      </c>
      <c r="H30" s="11">
        <v>0.80979483295232102</v>
      </c>
      <c r="I30" s="12" t="s">
        <v>33</v>
      </c>
      <c r="J30" s="11">
        <v>0</v>
      </c>
      <c r="K30" s="11">
        <v>28</v>
      </c>
      <c r="L30" s="11">
        <v>28</v>
      </c>
      <c r="M30" s="11">
        <v>69</v>
      </c>
      <c r="N30" s="11">
        <v>65.764756459044307</v>
      </c>
      <c r="O30" s="13"/>
      <c r="P30" s="11">
        <v>65.755645666969897</v>
      </c>
      <c r="Q30" s="11">
        <v>65.764756459044307</v>
      </c>
      <c r="R30" s="11">
        <v>66.746086291968794</v>
      </c>
      <c r="S30" s="11">
        <v>66.746086291968794</v>
      </c>
      <c r="T30" s="11">
        <v>66.763418500078799</v>
      </c>
      <c r="U30" s="11">
        <v>67.5594504170585</v>
      </c>
      <c r="V30" s="12" t="s">
        <v>32</v>
      </c>
      <c r="W30" s="11">
        <v>0.80979483295232102</v>
      </c>
      <c r="X30" s="12" t="s">
        <v>33</v>
      </c>
      <c r="Y30" s="11">
        <v>2</v>
      </c>
      <c r="Z30" s="11">
        <v>1</v>
      </c>
      <c r="AA30" s="12" t="s">
        <v>34</v>
      </c>
      <c r="AB30" s="12" t="s">
        <v>35</v>
      </c>
      <c r="AC30" s="13"/>
      <c r="AD30" s="12" t="s">
        <v>36</v>
      </c>
      <c r="AE30" s="12" t="s">
        <v>33</v>
      </c>
      <c r="AF30" s="12" t="s">
        <v>37</v>
      </c>
      <c r="AG30" s="13"/>
    </row>
    <row r="31" spans="1:33" ht="20" customHeight="1" x14ac:dyDescent="0.15">
      <c r="A31" s="9">
        <v>51</v>
      </c>
      <c r="B31" s="10">
        <v>68</v>
      </c>
      <c r="C31" s="11">
        <v>168</v>
      </c>
      <c r="D31" s="11">
        <v>29</v>
      </c>
      <c r="E31" s="11">
        <v>29</v>
      </c>
      <c r="F31" s="11">
        <v>0</v>
      </c>
      <c r="G31" s="12" t="s">
        <v>38</v>
      </c>
      <c r="H31" s="11">
        <v>1.1224982908461201</v>
      </c>
      <c r="I31" s="12" t="s">
        <v>33</v>
      </c>
      <c r="J31" s="11">
        <v>0</v>
      </c>
      <c r="K31" s="11">
        <v>29</v>
      </c>
      <c r="L31" s="11">
        <v>29</v>
      </c>
      <c r="M31" s="11">
        <v>27</v>
      </c>
      <c r="N31" s="11">
        <v>67.577287500025705</v>
      </c>
      <c r="O31" s="13"/>
      <c r="P31" s="11">
        <v>67.566349459113596</v>
      </c>
      <c r="Q31" s="11">
        <v>67.577287500025705</v>
      </c>
      <c r="R31" s="11">
        <v>68.556351375067607</v>
      </c>
      <c r="S31" s="11">
        <v>68.556351375067607</v>
      </c>
      <c r="T31" s="11">
        <v>68.573902209056499</v>
      </c>
      <c r="U31" s="11">
        <v>69.681679542176397</v>
      </c>
      <c r="V31" s="12" t="s">
        <v>38</v>
      </c>
      <c r="W31" s="11">
        <v>1.1224982908461201</v>
      </c>
      <c r="X31" s="12" t="s">
        <v>33</v>
      </c>
      <c r="Y31" s="11">
        <v>2</v>
      </c>
      <c r="Z31" s="11">
        <v>1</v>
      </c>
      <c r="AA31" s="12" t="s">
        <v>34</v>
      </c>
      <c r="AB31" s="12" t="s">
        <v>35</v>
      </c>
      <c r="AC31" s="13"/>
      <c r="AD31" s="12" t="s">
        <v>36</v>
      </c>
      <c r="AE31" s="12" t="s">
        <v>33</v>
      </c>
      <c r="AF31" s="12" t="s">
        <v>37</v>
      </c>
      <c r="AG31" s="13"/>
    </row>
    <row r="32" spans="1:33" ht="20" customHeight="1" x14ac:dyDescent="0.15">
      <c r="A32" s="9">
        <v>12</v>
      </c>
      <c r="B32" s="10">
        <v>31</v>
      </c>
      <c r="C32" s="11">
        <v>43</v>
      </c>
      <c r="D32" s="11">
        <v>30</v>
      </c>
      <c r="E32" s="11">
        <v>30</v>
      </c>
      <c r="F32" s="11">
        <v>0</v>
      </c>
      <c r="G32" s="12" t="s">
        <v>32</v>
      </c>
      <c r="H32" s="11">
        <v>0.76712320791557398</v>
      </c>
      <c r="I32" s="12" t="s">
        <v>33</v>
      </c>
      <c r="J32" s="11">
        <v>0</v>
      </c>
      <c r="K32" s="11">
        <v>30</v>
      </c>
      <c r="L32" s="11">
        <v>30</v>
      </c>
      <c r="M32" s="11">
        <v>37</v>
      </c>
      <c r="N32" s="11">
        <v>69.699216459179297</v>
      </c>
      <c r="O32" s="13"/>
      <c r="P32" s="11">
        <v>69.6888250000775</v>
      </c>
      <c r="Q32" s="11">
        <v>69.699216459179297</v>
      </c>
      <c r="R32" s="11">
        <v>70.681651792023303</v>
      </c>
      <c r="S32" s="11">
        <v>70.681651792023303</v>
      </c>
      <c r="T32" s="11">
        <v>70.689323083963302</v>
      </c>
      <c r="U32" s="11">
        <v>71.459058209089605</v>
      </c>
      <c r="V32" s="12" t="s">
        <v>32</v>
      </c>
      <c r="W32" s="11">
        <v>0.76712320791557398</v>
      </c>
      <c r="X32" s="12" t="s">
        <v>33</v>
      </c>
      <c r="Y32" s="11">
        <v>2</v>
      </c>
      <c r="Z32" s="11">
        <v>1</v>
      </c>
      <c r="AA32" s="12" t="s">
        <v>34</v>
      </c>
      <c r="AB32" s="12" t="s">
        <v>35</v>
      </c>
      <c r="AC32" s="13"/>
      <c r="AD32" s="12" t="s">
        <v>36</v>
      </c>
      <c r="AE32" s="12" t="s">
        <v>33</v>
      </c>
      <c r="AF32" s="12" t="s">
        <v>37</v>
      </c>
      <c r="AG32" s="13"/>
    </row>
    <row r="33" spans="1:33" ht="20" customHeight="1" x14ac:dyDescent="0.15">
      <c r="A33" s="9">
        <v>42</v>
      </c>
      <c r="B33" s="10">
        <v>69</v>
      </c>
      <c r="C33" s="11">
        <v>132</v>
      </c>
      <c r="D33" s="11">
        <v>31</v>
      </c>
      <c r="E33" s="11">
        <v>31</v>
      </c>
      <c r="F33" s="11">
        <v>0</v>
      </c>
      <c r="G33" s="12" t="s">
        <v>32</v>
      </c>
      <c r="H33" s="11">
        <v>1.2036715000867799</v>
      </c>
      <c r="I33" s="12" t="s">
        <v>33</v>
      </c>
      <c r="J33" s="11">
        <v>0</v>
      </c>
      <c r="K33" s="11">
        <v>31</v>
      </c>
      <c r="L33" s="11">
        <v>31</v>
      </c>
      <c r="M33" s="11">
        <v>98</v>
      </c>
      <c r="N33" s="11">
        <v>71.477997417096105</v>
      </c>
      <c r="O33" s="13"/>
      <c r="P33" s="11">
        <v>71.467733124969499</v>
      </c>
      <c r="Q33" s="11">
        <v>71.477997417096105</v>
      </c>
      <c r="R33" s="11">
        <v>72.456186209106804</v>
      </c>
      <c r="S33" s="11">
        <v>72.456186209106804</v>
      </c>
      <c r="T33" s="11">
        <v>72.4736813751515</v>
      </c>
      <c r="U33" s="11">
        <v>73.665616959100603</v>
      </c>
      <c r="V33" s="12" t="s">
        <v>32</v>
      </c>
      <c r="W33" s="11">
        <v>1.2036715000867799</v>
      </c>
      <c r="X33" s="12" t="s">
        <v>33</v>
      </c>
      <c r="Y33" s="11">
        <v>2</v>
      </c>
      <c r="Z33" s="11">
        <v>1</v>
      </c>
      <c r="AA33" s="12" t="s">
        <v>34</v>
      </c>
      <c r="AB33" s="12" t="s">
        <v>35</v>
      </c>
      <c r="AC33" s="13"/>
      <c r="AD33" s="12" t="s">
        <v>36</v>
      </c>
      <c r="AE33" s="12" t="s">
        <v>33</v>
      </c>
      <c r="AF33" s="12" t="s">
        <v>37</v>
      </c>
      <c r="AG33" s="13"/>
    </row>
    <row r="34" spans="1:33" ht="20" customHeight="1" x14ac:dyDescent="0.15">
      <c r="A34" s="9">
        <v>13</v>
      </c>
      <c r="B34" s="10">
        <v>24</v>
      </c>
      <c r="C34" s="11">
        <v>164</v>
      </c>
      <c r="D34" s="11">
        <v>32</v>
      </c>
      <c r="E34" s="11">
        <v>32</v>
      </c>
      <c r="F34" s="11">
        <v>0</v>
      </c>
      <c r="G34" s="12" t="s">
        <v>32</v>
      </c>
      <c r="H34" s="11">
        <v>0.95777920819818996</v>
      </c>
      <c r="I34" s="12" t="s">
        <v>33</v>
      </c>
      <c r="J34" s="11">
        <v>0</v>
      </c>
      <c r="K34" s="11">
        <v>32</v>
      </c>
      <c r="L34" s="11">
        <v>32</v>
      </c>
      <c r="M34" s="11">
        <v>57</v>
      </c>
      <c r="N34" s="11">
        <v>73.681202334119007</v>
      </c>
      <c r="O34" s="13"/>
      <c r="P34" s="11">
        <v>73.672022292157607</v>
      </c>
      <c r="Q34" s="11">
        <v>73.681202334119007</v>
      </c>
      <c r="R34" s="11">
        <v>74.664976333966493</v>
      </c>
      <c r="S34" s="11">
        <v>74.664976333966493</v>
      </c>
      <c r="T34" s="11">
        <v>74.672715875087306</v>
      </c>
      <c r="U34" s="11">
        <v>75.625836750026806</v>
      </c>
      <c r="V34" s="12" t="s">
        <v>32</v>
      </c>
      <c r="W34" s="11">
        <v>0.95777920819818996</v>
      </c>
      <c r="X34" s="12" t="s">
        <v>33</v>
      </c>
      <c r="Y34" s="11">
        <v>2</v>
      </c>
      <c r="Z34" s="11">
        <v>1</v>
      </c>
      <c r="AA34" s="12" t="s">
        <v>34</v>
      </c>
      <c r="AB34" s="12" t="s">
        <v>35</v>
      </c>
      <c r="AC34" s="13"/>
      <c r="AD34" s="12" t="s">
        <v>36</v>
      </c>
      <c r="AE34" s="12" t="s">
        <v>33</v>
      </c>
      <c r="AF34" s="12" t="s">
        <v>37</v>
      </c>
      <c r="AG34" s="13"/>
    </row>
    <row r="35" spans="1:33" ht="20" customHeight="1" x14ac:dyDescent="0.15">
      <c r="A35" s="9">
        <v>61</v>
      </c>
      <c r="B35" s="10">
        <v>73</v>
      </c>
      <c r="C35" s="11">
        <v>57</v>
      </c>
      <c r="D35" s="11">
        <v>33</v>
      </c>
      <c r="E35" s="11">
        <v>33</v>
      </c>
      <c r="F35" s="11">
        <v>0</v>
      </c>
      <c r="G35" s="12" t="s">
        <v>32</v>
      </c>
      <c r="H35" s="11">
        <v>1.14485779195093</v>
      </c>
      <c r="I35" s="12" t="s">
        <v>33</v>
      </c>
      <c r="J35" s="11">
        <v>0</v>
      </c>
      <c r="K35" s="11">
        <v>33</v>
      </c>
      <c r="L35" s="11">
        <v>33</v>
      </c>
      <c r="M35" s="11">
        <v>7</v>
      </c>
      <c r="N35" s="11">
        <v>75.643242666963502</v>
      </c>
      <c r="O35" s="13"/>
      <c r="P35" s="11">
        <v>75.633264667121693</v>
      </c>
      <c r="Q35" s="11">
        <v>75.643242666963502</v>
      </c>
      <c r="R35" s="11">
        <v>76.622759792022407</v>
      </c>
      <c r="S35" s="11">
        <v>76.622759792022407</v>
      </c>
      <c r="T35" s="11">
        <v>76.640348792076097</v>
      </c>
      <c r="U35" s="11">
        <v>77.775622542016194</v>
      </c>
      <c r="V35" s="12" t="s">
        <v>32</v>
      </c>
      <c r="W35" s="11">
        <v>1.14485779195093</v>
      </c>
      <c r="X35" s="12" t="s">
        <v>33</v>
      </c>
      <c r="Y35" s="11">
        <v>2</v>
      </c>
      <c r="Z35" s="11">
        <v>1</v>
      </c>
      <c r="AA35" s="12" t="s">
        <v>34</v>
      </c>
      <c r="AB35" s="12" t="s">
        <v>35</v>
      </c>
      <c r="AC35" s="13"/>
      <c r="AD35" s="12" t="s">
        <v>36</v>
      </c>
      <c r="AE35" s="12" t="s">
        <v>33</v>
      </c>
      <c r="AF35" s="12" t="s">
        <v>37</v>
      </c>
      <c r="AG35" s="13"/>
    </row>
    <row r="36" spans="1:33" ht="20" customHeight="1" x14ac:dyDescent="0.15">
      <c r="A36" s="9">
        <v>30</v>
      </c>
      <c r="B36" s="10">
        <v>35</v>
      </c>
      <c r="C36" s="11">
        <v>164</v>
      </c>
      <c r="D36" s="11">
        <v>34</v>
      </c>
      <c r="E36" s="11">
        <v>34</v>
      </c>
      <c r="F36" s="11">
        <v>0</v>
      </c>
      <c r="G36" s="12" t="s">
        <v>32</v>
      </c>
      <c r="H36" s="11">
        <v>0.71753970789723098</v>
      </c>
      <c r="I36" s="12" t="s">
        <v>33</v>
      </c>
      <c r="J36" s="11">
        <v>0</v>
      </c>
      <c r="K36" s="11">
        <v>34</v>
      </c>
      <c r="L36" s="11">
        <v>34</v>
      </c>
      <c r="M36" s="11">
        <v>10</v>
      </c>
      <c r="N36" s="11">
        <v>77.792943333974094</v>
      </c>
      <c r="O36" s="13"/>
      <c r="P36" s="11">
        <v>77.782821417087703</v>
      </c>
      <c r="Q36" s="11">
        <v>77.792943333974094</v>
      </c>
      <c r="R36" s="11">
        <v>78.773070000112099</v>
      </c>
      <c r="S36" s="11">
        <v>78.773070000112099</v>
      </c>
      <c r="T36" s="11">
        <v>78.790241792099593</v>
      </c>
      <c r="U36" s="11">
        <v>79.492502750130399</v>
      </c>
      <c r="V36" s="12" t="s">
        <v>32</v>
      </c>
      <c r="W36" s="11">
        <v>0.71753970789723098</v>
      </c>
      <c r="X36" s="12" t="s">
        <v>33</v>
      </c>
      <c r="Y36" s="11">
        <v>2</v>
      </c>
      <c r="Z36" s="11">
        <v>1</v>
      </c>
      <c r="AA36" s="12" t="s">
        <v>34</v>
      </c>
      <c r="AB36" s="12" t="s">
        <v>35</v>
      </c>
      <c r="AC36" s="13"/>
      <c r="AD36" s="12" t="s">
        <v>36</v>
      </c>
      <c r="AE36" s="12" t="s">
        <v>33</v>
      </c>
      <c r="AF36" s="12" t="s">
        <v>37</v>
      </c>
      <c r="AG36" s="13"/>
    </row>
    <row r="37" spans="1:33" ht="20" customHeight="1" x14ac:dyDescent="0.15">
      <c r="A37" s="9">
        <v>31</v>
      </c>
      <c r="B37" s="10">
        <v>50</v>
      </c>
      <c r="C37" s="11">
        <v>97</v>
      </c>
      <c r="D37" s="11">
        <v>35</v>
      </c>
      <c r="E37" s="11">
        <v>35</v>
      </c>
      <c r="F37" s="11">
        <v>0</v>
      </c>
      <c r="G37" s="12" t="s">
        <v>32</v>
      </c>
      <c r="H37" s="11">
        <v>0.88544441689737097</v>
      </c>
      <c r="I37" s="12" t="s">
        <v>33</v>
      </c>
      <c r="J37" s="11">
        <v>0</v>
      </c>
      <c r="K37" s="11">
        <v>35</v>
      </c>
      <c r="L37" s="11">
        <v>35</v>
      </c>
      <c r="M37" s="11">
        <v>24</v>
      </c>
      <c r="N37" s="11">
        <v>79.5098445001058</v>
      </c>
      <c r="O37" s="13"/>
      <c r="P37" s="11">
        <v>79.499873667024104</v>
      </c>
      <c r="Q37" s="11">
        <v>79.5098445001058</v>
      </c>
      <c r="R37" s="11">
        <v>80.489242709009005</v>
      </c>
      <c r="S37" s="11">
        <v>80.489242709009005</v>
      </c>
      <c r="T37" s="11">
        <v>80.507221542066006</v>
      </c>
      <c r="U37" s="11">
        <v>81.381520500173806</v>
      </c>
      <c r="V37" s="12" t="s">
        <v>32</v>
      </c>
      <c r="W37" s="11">
        <v>0.88544441689737097</v>
      </c>
      <c r="X37" s="12" t="s">
        <v>33</v>
      </c>
      <c r="Y37" s="11">
        <v>2</v>
      </c>
      <c r="Z37" s="11">
        <v>1</v>
      </c>
      <c r="AA37" s="12" t="s">
        <v>34</v>
      </c>
      <c r="AB37" s="12" t="s">
        <v>35</v>
      </c>
      <c r="AC37" s="13"/>
      <c r="AD37" s="12" t="s">
        <v>36</v>
      </c>
      <c r="AE37" s="12" t="s">
        <v>33</v>
      </c>
      <c r="AF37" s="12" t="s">
        <v>37</v>
      </c>
      <c r="AG37" s="13"/>
    </row>
    <row r="38" spans="1:33" ht="20" customHeight="1" x14ac:dyDescent="0.15">
      <c r="A38" s="9">
        <v>13</v>
      </c>
      <c r="B38" s="10">
        <v>42</v>
      </c>
      <c r="C38" s="11">
        <v>52</v>
      </c>
      <c r="D38" s="11">
        <v>36</v>
      </c>
      <c r="E38" s="11">
        <v>36</v>
      </c>
      <c r="F38" s="11">
        <v>0</v>
      </c>
      <c r="G38" s="12" t="s">
        <v>32</v>
      </c>
      <c r="H38" s="11">
        <v>0.70801779092289496</v>
      </c>
      <c r="I38" s="12" t="s">
        <v>33</v>
      </c>
      <c r="J38" s="11">
        <v>0</v>
      </c>
      <c r="K38" s="11">
        <v>36</v>
      </c>
      <c r="L38" s="11">
        <v>36</v>
      </c>
      <c r="M38" s="11">
        <v>61</v>
      </c>
      <c r="N38" s="11">
        <v>81.397104584146305</v>
      </c>
      <c r="O38" s="13"/>
      <c r="P38" s="11">
        <v>81.388083833968295</v>
      </c>
      <c r="Q38" s="11">
        <v>81.397104584146305</v>
      </c>
      <c r="R38" s="11">
        <v>82.381466542137801</v>
      </c>
      <c r="S38" s="11">
        <v>82.381466542137801</v>
      </c>
      <c r="T38" s="11">
        <v>82.389231584034903</v>
      </c>
      <c r="U38" s="11">
        <v>83.090990792028606</v>
      </c>
      <c r="V38" s="12" t="s">
        <v>32</v>
      </c>
      <c r="W38" s="11">
        <v>0.70801779092289496</v>
      </c>
      <c r="X38" s="12" t="s">
        <v>33</v>
      </c>
      <c r="Y38" s="11">
        <v>2</v>
      </c>
      <c r="Z38" s="11">
        <v>1</v>
      </c>
      <c r="AA38" s="12" t="s">
        <v>34</v>
      </c>
      <c r="AB38" s="12" t="s">
        <v>35</v>
      </c>
      <c r="AC38" s="13"/>
      <c r="AD38" s="12" t="s">
        <v>36</v>
      </c>
      <c r="AE38" s="12" t="s">
        <v>33</v>
      </c>
      <c r="AF38" s="12" t="s">
        <v>37</v>
      </c>
      <c r="AG38" s="13"/>
    </row>
    <row r="39" spans="1:33" ht="20" customHeight="1" x14ac:dyDescent="0.15">
      <c r="A39" s="9">
        <v>11</v>
      </c>
      <c r="B39" s="10">
        <v>41</v>
      </c>
      <c r="C39" s="11">
        <v>102</v>
      </c>
      <c r="D39" s="11">
        <v>37</v>
      </c>
      <c r="E39" s="11">
        <v>37</v>
      </c>
      <c r="F39" s="11">
        <v>0</v>
      </c>
      <c r="G39" s="12" t="s">
        <v>32</v>
      </c>
      <c r="H39" s="11">
        <v>0.87500916584394905</v>
      </c>
      <c r="I39" s="12" t="s">
        <v>33</v>
      </c>
      <c r="J39" s="11">
        <v>0</v>
      </c>
      <c r="K39" s="11">
        <v>37</v>
      </c>
      <c r="L39" s="11">
        <v>37</v>
      </c>
      <c r="M39" s="11">
        <v>18</v>
      </c>
      <c r="N39" s="11">
        <v>83.109380000038101</v>
      </c>
      <c r="O39" s="13"/>
      <c r="P39" s="11">
        <v>83.098322834121106</v>
      </c>
      <c r="Q39" s="11">
        <v>83.109380000038101</v>
      </c>
      <c r="R39" s="11">
        <v>84.081491583958297</v>
      </c>
      <c r="S39" s="11">
        <v>84.081491583958297</v>
      </c>
      <c r="T39" s="11">
        <v>84.106990667060003</v>
      </c>
      <c r="U39" s="11">
        <v>84.958813500125004</v>
      </c>
      <c r="V39" s="12" t="s">
        <v>32</v>
      </c>
      <c r="W39" s="11">
        <v>0.87500916584394905</v>
      </c>
      <c r="X39" s="12" t="s">
        <v>33</v>
      </c>
      <c r="Y39" s="11">
        <v>2</v>
      </c>
      <c r="Z39" s="11">
        <v>1</v>
      </c>
      <c r="AA39" s="12" t="s">
        <v>34</v>
      </c>
      <c r="AB39" s="12" t="s">
        <v>35</v>
      </c>
      <c r="AC39" s="13"/>
      <c r="AD39" s="12" t="s">
        <v>36</v>
      </c>
      <c r="AE39" s="12" t="s">
        <v>33</v>
      </c>
      <c r="AF39" s="12" t="s">
        <v>37</v>
      </c>
      <c r="AG39" s="13"/>
    </row>
    <row r="40" spans="1:33" ht="20" customHeight="1" x14ac:dyDescent="0.15">
      <c r="A40" s="9">
        <v>58</v>
      </c>
      <c r="B40" s="10">
        <v>88</v>
      </c>
      <c r="C40" s="11">
        <v>7</v>
      </c>
      <c r="D40" s="11">
        <v>38</v>
      </c>
      <c r="E40" s="11">
        <v>38</v>
      </c>
      <c r="F40" s="11">
        <v>0</v>
      </c>
      <c r="G40" s="12" t="s">
        <v>32</v>
      </c>
      <c r="H40" s="11">
        <v>1.0166279990225999</v>
      </c>
      <c r="I40" s="12" t="s">
        <v>33</v>
      </c>
      <c r="J40" s="11">
        <v>0</v>
      </c>
      <c r="K40" s="11">
        <v>38</v>
      </c>
      <c r="L40" s="11">
        <v>38</v>
      </c>
      <c r="M40" s="11">
        <v>25</v>
      </c>
      <c r="N40" s="11">
        <v>84.976272459141896</v>
      </c>
      <c r="O40" s="13"/>
      <c r="P40" s="11">
        <v>84.965618542162701</v>
      </c>
      <c r="Q40" s="11">
        <v>84.976272459141896</v>
      </c>
      <c r="R40" s="11">
        <v>85.956789958989305</v>
      </c>
      <c r="S40" s="11">
        <v>85.956789958989305</v>
      </c>
      <c r="T40" s="11">
        <v>85.972191208973499</v>
      </c>
      <c r="U40" s="11">
        <v>86.980171292088897</v>
      </c>
      <c r="V40" s="12" t="s">
        <v>32</v>
      </c>
      <c r="W40" s="11">
        <v>1.0166279990225999</v>
      </c>
      <c r="X40" s="12" t="s">
        <v>33</v>
      </c>
      <c r="Y40" s="11">
        <v>2</v>
      </c>
      <c r="Z40" s="11">
        <v>1</v>
      </c>
      <c r="AA40" s="12" t="s">
        <v>34</v>
      </c>
      <c r="AB40" s="12" t="s">
        <v>35</v>
      </c>
      <c r="AC40" s="13"/>
      <c r="AD40" s="12" t="s">
        <v>36</v>
      </c>
      <c r="AE40" s="12" t="s">
        <v>33</v>
      </c>
      <c r="AF40" s="12" t="s">
        <v>37</v>
      </c>
      <c r="AG40" s="13"/>
    </row>
    <row r="41" spans="1:33" ht="20" customHeight="1" x14ac:dyDescent="0.15">
      <c r="A41" s="9">
        <v>67</v>
      </c>
      <c r="B41" s="10">
        <v>86</v>
      </c>
      <c r="C41" s="11">
        <v>74</v>
      </c>
      <c r="D41" s="11">
        <v>39</v>
      </c>
      <c r="E41" s="11">
        <v>39</v>
      </c>
      <c r="F41" s="11">
        <v>0</v>
      </c>
      <c r="G41" s="12" t="s">
        <v>32</v>
      </c>
      <c r="H41" s="11">
        <v>1.1022369998972901</v>
      </c>
      <c r="I41" s="12" t="s">
        <v>33</v>
      </c>
      <c r="J41" s="11">
        <v>0</v>
      </c>
      <c r="K41" s="11">
        <v>39</v>
      </c>
      <c r="L41" s="11">
        <v>39</v>
      </c>
      <c r="M41" s="11">
        <v>23</v>
      </c>
      <c r="N41" s="11">
        <v>86.995747042121394</v>
      </c>
      <c r="O41" s="13"/>
      <c r="P41" s="11">
        <v>86.986647458979903</v>
      </c>
      <c r="Q41" s="11">
        <v>86.995747042121394</v>
      </c>
      <c r="R41" s="11">
        <v>87.972102500032605</v>
      </c>
      <c r="S41" s="11">
        <v>87.972102500032605</v>
      </c>
      <c r="T41" s="11">
        <v>87.990148375043702</v>
      </c>
      <c r="U41" s="11">
        <v>89.080072417156799</v>
      </c>
      <c r="V41" s="12" t="s">
        <v>32</v>
      </c>
      <c r="W41" s="11">
        <v>1.1022369998972901</v>
      </c>
      <c r="X41" s="12" t="s">
        <v>33</v>
      </c>
      <c r="Y41" s="11">
        <v>2</v>
      </c>
      <c r="Z41" s="11">
        <v>1</v>
      </c>
      <c r="AA41" s="12" t="s">
        <v>34</v>
      </c>
      <c r="AB41" s="12" t="s">
        <v>35</v>
      </c>
      <c r="AC41" s="13"/>
      <c r="AD41" s="12" t="s">
        <v>36</v>
      </c>
      <c r="AE41" s="12" t="s">
        <v>33</v>
      </c>
      <c r="AF41" s="12" t="s">
        <v>37</v>
      </c>
      <c r="AG41" s="13"/>
    </row>
    <row r="42" spans="1:33" ht="20" customHeight="1" x14ac:dyDescent="0.15">
      <c r="A42" s="9">
        <v>62</v>
      </c>
      <c r="B42" s="10">
        <v>80</v>
      </c>
      <c r="C42" s="11">
        <v>42</v>
      </c>
      <c r="D42" s="11">
        <v>40</v>
      </c>
      <c r="E42" s="11">
        <v>40</v>
      </c>
      <c r="F42" s="11">
        <v>0</v>
      </c>
      <c r="G42" s="12" t="s">
        <v>32</v>
      </c>
      <c r="H42" s="11">
        <v>1.1542960419319599</v>
      </c>
      <c r="I42" s="12" t="s">
        <v>33</v>
      </c>
      <c r="J42" s="11">
        <v>0</v>
      </c>
      <c r="K42" s="11">
        <v>40</v>
      </c>
      <c r="L42" s="11">
        <v>40</v>
      </c>
      <c r="M42" s="11">
        <v>14</v>
      </c>
      <c r="N42" s="11">
        <v>89.095727209001794</v>
      </c>
      <c r="O42" s="13"/>
      <c r="P42" s="11">
        <v>89.086478667100906</v>
      </c>
      <c r="Q42" s="11">
        <v>89.095727209001794</v>
      </c>
      <c r="R42" s="11">
        <v>90.072099250042797</v>
      </c>
      <c r="S42" s="11">
        <v>90.072099250042797</v>
      </c>
      <c r="T42" s="11">
        <v>90.090320084011196</v>
      </c>
      <c r="U42" s="11">
        <v>91.231717667076694</v>
      </c>
      <c r="V42" s="12" t="s">
        <v>32</v>
      </c>
      <c r="W42" s="11">
        <v>1.1542960419319599</v>
      </c>
      <c r="X42" s="12" t="s">
        <v>33</v>
      </c>
      <c r="Y42" s="11">
        <v>2</v>
      </c>
      <c r="Z42" s="11">
        <v>1</v>
      </c>
      <c r="AA42" s="12" t="s">
        <v>34</v>
      </c>
      <c r="AB42" s="12" t="s">
        <v>35</v>
      </c>
      <c r="AC42" s="13"/>
      <c r="AD42" s="12" t="s">
        <v>36</v>
      </c>
      <c r="AE42" s="12" t="s">
        <v>33</v>
      </c>
      <c r="AF42" s="12" t="s">
        <v>37</v>
      </c>
      <c r="AG42" s="13"/>
    </row>
    <row r="43" spans="1:33" ht="20" customHeight="1" x14ac:dyDescent="0.15">
      <c r="A43" s="9">
        <v>16</v>
      </c>
      <c r="B43" s="10">
        <v>22</v>
      </c>
      <c r="C43" s="11">
        <v>140</v>
      </c>
      <c r="D43" s="11">
        <v>41</v>
      </c>
      <c r="E43" s="11">
        <v>41</v>
      </c>
      <c r="F43" s="11">
        <v>0</v>
      </c>
      <c r="G43" s="12" t="s">
        <v>38</v>
      </c>
      <c r="H43" s="11">
        <v>1.90425937483087</v>
      </c>
      <c r="I43" s="12" t="s">
        <v>33</v>
      </c>
      <c r="J43" s="11">
        <v>0</v>
      </c>
      <c r="K43" s="11">
        <v>41</v>
      </c>
      <c r="L43" s="11">
        <v>41</v>
      </c>
      <c r="M43" s="11">
        <v>95</v>
      </c>
      <c r="N43" s="11">
        <v>91.248773334082202</v>
      </c>
      <c r="O43" s="13"/>
      <c r="P43" s="11">
        <v>91.238980000140202</v>
      </c>
      <c r="Q43" s="11">
        <v>91.248773334082202</v>
      </c>
      <c r="R43" s="11">
        <v>92.232045875163806</v>
      </c>
      <c r="S43" s="11">
        <v>92.232045875163806</v>
      </c>
      <c r="T43" s="11">
        <v>92.238571709021898</v>
      </c>
      <c r="U43" s="11">
        <v>94.142174000153304</v>
      </c>
      <c r="V43" s="12" t="s">
        <v>38</v>
      </c>
      <c r="W43" s="11">
        <v>1.90425937483087</v>
      </c>
      <c r="X43" s="12" t="s">
        <v>33</v>
      </c>
      <c r="Y43" s="11">
        <v>2</v>
      </c>
      <c r="Z43" s="11">
        <v>1</v>
      </c>
      <c r="AA43" s="12" t="s">
        <v>34</v>
      </c>
      <c r="AB43" s="12" t="s">
        <v>35</v>
      </c>
      <c r="AC43" s="13"/>
      <c r="AD43" s="12" t="s">
        <v>36</v>
      </c>
      <c r="AE43" s="12" t="s">
        <v>33</v>
      </c>
      <c r="AF43" s="12" t="s">
        <v>37</v>
      </c>
      <c r="AG43" s="13"/>
    </row>
    <row r="44" spans="1:33" ht="20" customHeight="1" x14ac:dyDescent="0.15">
      <c r="A44" s="9">
        <v>71</v>
      </c>
      <c r="B44" s="10">
        <v>80</v>
      </c>
      <c r="C44" s="11">
        <v>56</v>
      </c>
      <c r="D44" s="11">
        <v>42</v>
      </c>
      <c r="E44" s="11">
        <v>42</v>
      </c>
      <c r="F44" s="11">
        <v>0</v>
      </c>
      <c r="G44" s="12" t="s">
        <v>38</v>
      </c>
      <c r="H44" s="11">
        <v>1.0190866249613499</v>
      </c>
      <c r="I44" s="12" t="s">
        <v>33</v>
      </c>
      <c r="J44" s="11">
        <v>0</v>
      </c>
      <c r="K44" s="11">
        <v>42</v>
      </c>
      <c r="L44" s="11">
        <v>42</v>
      </c>
      <c r="M44" s="11">
        <v>33</v>
      </c>
      <c r="N44" s="11">
        <v>94.159434375120298</v>
      </c>
      <c r="O44" s="13"/>
      <c r="P44" s="11">
        <v>94.149571000132696</v>
      </c>
      <c r="Q44" s="11">
        <v>94.159434375120298</v>
      </c>
      <c r="R44" s="11">
        <v>95.139145249966504</v>
      </c>
      <c r="S44" s="11">
        <v>95.139145249966504</v>
      </c>
      <c r="T44" s="11">
        <v>95.157013667048901</v>
      </c>
      <c r="U44" s="11">
        <v>96.164847834035797</v>
      </c>
      <c r="V44" s="12" t="s">
        <v>38</v>
      </c>
      <c r="W44" s="11">
        <v>1.0190866249613499</v>
      </c>
      <c r="X44" s="12" t="s">
        <v>33</v>
      </c>
      <c r="Y44" s="11">
        <v>2</v>
      </c>
      <c r="Z44" s="11">
        <v>1</v>
      </c>
      <c r="AA44" s="12" t="s">
        <v>34</v>
      </c>
      <c r="AB44" s="12" t="s">
        <v>35</v>
      </c>
      <c r="AC44" s="13"/>
      <c r="AD44" s="12" t="s">
        <v>36</v>
      </c>
      <c r="AE44" s="12" t="s">
        <v>33</v>
      </c>
      <c r="AF44" s="12" t="s">
        <v>37</v>
      </c>
      <c r="AG44" s="13"/>
    </row>
    <row r="45" spans="1:33" ht="20" customHeight="1" x14ac:dyDescent="0.15">
      <c r="A45" s="9">
        <v>63</v>
      </c>
      <c r="B45" s="10">
        <v>92</v>
      </c>
      <c r="C45" s="11">
        <v>151</v>
      </c>
      <c r="D45" s="11">
        <v>43</v>
      </c>
      <c r="E45" s="11">
        <v>43</v>
      </c>
      <c r="F45" s="11">
        <v>0</v>
      </c>
      <c r="G45" s="12" t="s">
        <v>32</v>
      </c>
      <c r="H45" s="11">
        <v>1.1549060831312099</v>
      </c>
      <c r="I45" s="12" t="s">
        <v>33</v>
      </c>
      <c r="J45" s="11">
        <v>0</v>
      </c>
      <c r="K45" s="11">
        <v>43</v>
      </c>
      <c r="L45" s="11">
        <v>43</v>
      </c>
      <c r="M45" s="11">
        <v>60</v>
      </c>
      <c r="N45" s="11">
        <v>96.181466792011605</v>
      </c>
      <c r="O45" s="13"/>
      <c r="P45" s="11">
        <v>96.172776625026003</v>
      </c>
      <c r="Q45" s="11">
        <v>96.181466792011605</v>
      </c>
      <c r="R45" s="11">
        <v>97.164341208990706</v>
      </c>
      <c r="S45" s="11">
        <v>97.164341208990706</v>
      </c>
      <c r="T45" s="11">
        <v>97.173041209112895</v>
      </c>
      <c r="U45" s="11">
        <v>98.325104959076299</v>
      </c>
      <c r="V45" s="12" t="s">
        <v>32</v>
      </c>
      <c r="W45" s="11">
        <v>1.1549060831312099</v>
      </c>
      <c r="X45" s="12" t="s">
        <v>33</v>
      </c>
      <c r="Y45" s="11">
        <v>2</v>
      </c>
      <c r="Z45" s="11">
        <v>1</v>
      </c>
      <c r="AA45" s="12" t="s">
        <v>34</v>
      </c>
      <c r="AB45" s="12" t="s">
        <v>35</v>
      </c>
      <c r="AC45" s="13"/>
      <c r="AD45" s="12" t="s">
        <v>36</v>
      </c>
      <c r="AE45" s="12" t="s">
        <v>33</v>
      </c>
      <c r="AF45" s="12" t="s">
        <v>37</v>
      </c>
      <c r="AG45" s="13"/>
    </row>
    <row r="46" spans="1:33" ht="20" customHeight="1" x14ac:dyDescent="0.15">
      <c r="A46" s="9">
        <v>42</v>
      </c>
      <c r="B46" s="10">
        <v>63</v>
      </c>
      <c r="C46" s="11">
        <v>25</v>
      </c>
      <c r="D46" s="11">
        <v>44</v>
      </c>
      <c r="E46" s="11">
        <v>44</v>
      </c>
      <c r="F46" s="11">
        <v>0</v>
      </c>
      <c r="G46" s="12" t="s">
        <v>32</v>
      </c>
      <c r="H46" s="11">
        <v>1.4192919579800201</v>
      </c>
      <c r="I46" s="12" t="s">
        <v>33</v>
      </c>
      <c r="J46" s="11">
        <v>0</v>
      </c>
      <c r="K46" s="11">
        <v>44</v>
      </c>
      <c r="L46" s="11">
        <v>44</v>
      </c>
      <c r="M46" s="11">
        <v>91</v>
      </c>
      <c r="N46" s="11">
        <v>98.343287750147297</v>
      </c>
      <c r="O46" s="13"/>
      <c r="P46" s="11">
        <v>98.332311500096694</v>
      </c>
      <c r="Q46" s="11">
        <v>98.343287750147297</v>
      </c>
      <c r="R46" s="11">
        <v>99.322886459063696</v>
      </c>
      <c r="S46" s="11">
        <v>99.322886459063696</v>
      </c>
      <c r="T46" s="11">
        <v>99.340408124961002</v>
      </c>
      <c r="U46" s="11">
        <v>100.74886279203901</v>
      </c>
      <c r="V46" s="12" t="s">
        <v>32</v>
      </c>
      <c r="W46" s="11">
        <v>1.4192919579800201</v>
      </c>
      <c r="X46" s="12" t="s">
        <v>33</v>
      </c>
      <c r="Y46" s="11">
        <v>2</v>
      </c>
      <c r="Z46" s="11">
        <v>1</v>
      </c>
      <c r="AA46" s="12" t="s">
        <v>34</v>
      </c>
      <c r="AB46" s="12" t="s">
        <v>35</v>
      </c>
      <c r="AC46" s="13"/>
      <c r="AD46" s="12" t="s">
        <v>36</v>
      </c>
      <c r="AE46" s="12" t="s">
        <v>33</v>
      </c>
      <c r="AF46" s="12" t="s">
        <v>37</v>
      </c>
      <c r="AG46" s="13"/>
    </row>
    <row r="47" spans="1:33" ht="20" customHeight="1" x14ac:dyDescent="0.15">
      <c r="A47" s="9">
        <v>44</v>
      </c>
      <c r="B47" s="10">
        <v>65</v>
      </c>
      <c r="C47" s="11">
        <v>37</v>
      </c>
      <c r="D47" s="11">
        <v>45</v>
      </c>
      <c r="E47" s="11">
        <v>45</v>
      </c>
      <c r="F47" s="11">
        <v>0</v>
      </c>
      <c r="G47" s="12" t="s">
        <v>32</v>
      </c>
      <c r="H47" s="11">
        <v>1.70678462507203</v>
      </c>
      <c r="I47" s="12" t="s">
        <v>33</v>
      </c>
      <c r="J47" s="11">
        <v>0</v>
      </c>
      <c r="K47" s="11">
        <v>45</v>
      </c>
      <c r="L47" s="11">
        <v>45</v>
      </c>
      <c r="M47" s="11">
        <v>89</v>
      </c>
      <c r="N47" s="11">
        <v>100.765319167171</v>
      </c>
      <c r="O47" s="13"/>
      <c r="P47" s="11">
        <v>100.75630058418</v>
      </c>
      <c r="Q47" s="11">
        <v>100.765319167171</v>
      </c>
      <c r="R47" s="11">
        <v>101.747329209</v>
      </c>
      <c r="S47" s="11">
        <v>101.747329209</v>
      </c>
      <c r="T47" s="11">
        <v>101.762541000033</v>
      </c>
      <c r="U47" s="11">
        <v>103.458745167125</v>
      </c>
      <c r="V47" s="12" t="s">
        <v>32</v>
      </c>
      <c r="W47" s="11">
        <v>1.70678462507203</v>
      </c>
      <c r="X47" s="12" t="s">
        <v>33</v>
      </c>
      <c r="Y47" s="11">
        <v>2</v>
      </c>
      <c r="Z47" s="11">
        <v>1</v>
      </c>
      <c r="AA47" s="12" t="s">
        <v>34</v>
      </c>
      <c r="AB47" s="12" t="s">
        <v>35</v>
      </c>
      <c r="AC47" s="13"/>
      <c r="AD47" s="12" t="s">
        <v>36</v>
      </c>
      <c r="AE47" s="12" t="s">
        <v>33</v>
      </c>
      <c r="AF47" s="12" t="s">
        <v>37</v>
      </c>
      <c r="AG47" s="13"/>
    </row>
    <row r="48" spans="1:33" ht="20" customHeight="1" x14ac:dyDescent="0.15">
      <c r="A48" s="9">
        <v>69</v>
      </c>
      <c r="B48" s="10">
        <v>87</v>
      </c>
      <c r="C48" s="11">
        <v>148</v>
      </c>
      <c r="D48" s="11">
        <v>46</v>
      </c>
      <c r="E48" s="11">
        <v>46</v>
      </c>
      <c r="F48" s="11">
        <v>0</v>
      </c>
      <c r="G48" s="12" t="s">
        <v>32</v>
      </c>
      <c r="H48" s="11">
        <v>2.24855658295564</v>
      </c>
      <c r="I48" s="12" t="s">
        <v>33</v>
      </c>
      <c r="J48" s="11">
        <v>0</v>
      </c>
      <c r="K48" s="11">
        <v>46</v>
      </c>
      <c r="L48" s="11">
        <v>46</v>
      </c>
      <c r="M48" s="11">
        <v>20</v>
      </c>
      <c r="N48" s="11">
        <v>103.476212417008</v>
      </c>
      <c r="O48" s="13"/>
      <c r="P48" s="11">
        <v>103.46577154216401</v>
      </c>
      <c r="Q48" s="11">
        <v>103.476212417008</v>
      </c>
      <c r="R48" s="11">
        <v>104.45548450015499</v>
      </c>
      <c r="S48" s="11">
        <v>104.45548450015499</v>
      </c>
      <c r="T48" s="11">
        <v>104.47362491698</v>
      </c>
      <c r="U48" s="11">
        <v>106.708976959111</v>
      </c>
      <c r="V48" s="12" t="s">
        <v>32</v>
      </c>
      <c r="W48" s="11">
        <v>2.24855658295564</v>
      </c>
      <c r="X48" s="12" t="s">
        <v>33</v>
      </c>
      <c r="Y48" s="11">
        <v>2</v>
      </c>
      <c r="Z48" s="11">
        <v>1</v>
      </c>
      <c r="AA48" s="12" t="s">
        <v>34</v>
      </c>
      <c r="AB48" s="12" t="s">
        <v>35</v>
      </c>
      <c r="AC48" s="13"/>
      <c r="AD48" s="12" t="s">
        <v>36</v>
      </c>
      <c r="AE48" s="12" t="s">
        <v>33</v>
      </c>
      <c r="AF48" s="12" t="s">
        <v>37</v>
      </c>
      <c r="AG48" s="13"/>
    </row>
    <row r="49" spans="1:33" ht="20" customHeight="1" x14ac:dyDescent="0.15">
      <c r="A49" s="9">
        <v>45</v>
      </c>
      <c r="B49" s="10">
        <v>72</v>
      </c>
      <c r="C49" s="11">
        <v>144</v>
      </c>
      <c r="D49" s="11">
        <v>47</v>
      </c>
      <c r="E49" s="11">
        <v>47</v>
      </c>
      <c r="F49" s="11">
        <v>0</v>
      </c>
      <c r="G49" s="12" t="s">
        <v>32</v>
      </c>
      <c r="H49" s="11">
        <v>2.1638500411063402</v>
      </c>
      <c r="I49" s="12" t="s">
        <v>33</v>
      </c>
      <c r="J49" s="11">
        <v>0</v>
      </c>
      <c r="K49" s="11">
        <v>47</v>
      </c>
      <c r="L49" s="11">
        <v>47</v>
      </c>
      <c r="M49" s="11">
        <v>55</v>
      </c>
      <c r="N49" s="11">
        <v>106.726433584001</v>
      </c>
      <c r="O49" s="13"/>
      <c r="P49" s="11">
        <v>106.715704584029</v>
      </c>
      <c r="Q49" s="11">
        <v>106.726433584001</v>
      </c>
      <c r="R49" s="11">
        <v>107.706072167028</v>
      </c>
      <c r="S49" s="11">
        <v>107.706072167028</v>
      </c>
      <c r="T49" s="11">
        <v>107.72362545900999</v>
      </c>
      <c r="U49" s="11">
        <v>109.87533716717699</v>
      </c>
      <c r="V49" s="12" t="s">
        <v>32</v>
      </c>
      <c r="W49" s="11">
        <v>2.1638500411063402</v>
      </c>
      <c r="X49" s="12" t="s">
        <v>33</v>
      </c>
      <c r="Y49" s="11">
        <v>2</v>
      </c>
      <c r="Z49" s="11">
        <v>1</v>
      </c>
      <c r="AA49" s="12" t="s">
        <v>34</v>
      </c>
      <c r="AB49" s="12" t="s">
        <v>35</v>
      </c>
      <c r="AC49" s="13"/>
      <c r="AD49" s="12" t="s">
        <v>36</v>
      </c>
      <c r="AE49" s="12" t="s">
        <v>33</v>
      </c>
      <c r="AF49" s="12" t="s">
        <v>37</v>
      </c>
      <c r="AG49" s="13"/>
    </row>
    <row r="50" spans="1:33" ht="20" customHeight="1" x14ac:dyDescent="0.15">
      <c r="A50" s="9">
        <v>24</v>
      </c>
      <c r="B50" s="10">
        <v>35</v>
      </c>
      <c r="C50" s="11">
        <v>94</v>
      </c>
      <c r="D50" s="11">
        <v>48</v>
      </c>
      <c r="E50" s="11">
        <v>48</v>
      </c>
      <c r="F50" s="11">
        <v>0</v>
      </c>
      <c r="G50" s="12" t="s">
        <v>32</v>
      </c>
      <c r="H50" s="11">
        <v>1.73390108300373</v>
      </c>
      <c r="I50" s="12" t="s">
        <v>33</v>
      </c>
      <c r="J50" s="11">
        <v>0</v>
      </c>
      <c r="K50" s="11">
        <v>48</v>
      </c>
      <c r="L50" s="11">
        <v>48</v>
      </c>
      <c r="M50" s="11">
        <v>29</v>
      </c>
      <c r="N50" s="11">
        <v>109.893217917066</v>
      </c>
      <c r="O50" s="13"/>
      <c r="P50" s="11">
        <v>109.882252583979</v>
      </c>
      <c r="Q50" s="11">
        <v>109.893217917066</v>
      </c>
      <c r="R50" s="11">
        <v>110.871988917002</v>
      </c>
      <c r="S50" s="11">
        <v>110.871988917002</v>
      </c>
      <c r="T50" s="11">
        <v>110.89014604198699</v>
      </c>
      <c r="U50" s="11">
        <v>112.609063459095</v>
      </c>
      <c r="V50" s="12" t="s">
        <v>32</v>
      </c>
      <c r="W50" s="11">
        <v>1.73390108300373</v>
      </c>
      <c r="X50" s="12" t="s">
        <v>33</v>
      </c>
      <c r="Y50" s="11">
        <v>2</v>
      </c>
      <c r="Z50" s="11">
        <v>1</v>
      </c>
      <c r="AA50" s="12" t="s">
        <v>34</v>
      </c>
      <c r="AB50" s="12" t="s">
        <v>35</v>
      </c>
      <c r="AC50" s="13"/>
      <c r="AD50" s="12" t="s">
        <v>36</v>
      </c>
      <c r="AE50" s="12" t="s">
        <v>33</v>
      </c>
      <c r="AF50" s="12" t="s">
        <v>37</v>
      </c>
      <c r="AG50" s="13"/>
    </row>
    <row r="51" spans="1:33" ht="20" customHeight="1" x14ac:dyDescent="0.15">
      <c r="A51" s="9">
        <v>43</v>
      </c>
      <c r="B51" s="10">
        <v>69</v>
      </c>
      <c r="C51" s="11">
        <v>149</v>
      </c>
      <c r="D51" s="11">
        <v>49</v>
      </c>
      <c r="E51" s="11">
        <v>49</v>
      </c>
      <c r="F51" s="11">
        <v>0</v>
      </c>
      <c r="G51" s="12" t="s">
        <v>32</v>
      </c>
      <c r="H51" s="11">
        <v>1.1044297500047799</v>
      </c>
      <c r="I51" s="12" t="s">
        <v>33</v>
      </c>
      <c r="J51" s="11">
        <v>0</v>
      </c>
      <c r="K51" s="11">
        <v>49</v>
      </c>
      <c r="L51" s="11">
        <v>49</v>
      </c>
      <c r="M51" s="11">
        <v>97</v>
      </c>
      <c r="N51" s="11">
        <v>112.628460250096</v>
      </c>
      <c r="O51" s="13"/>
      <c r="P51" s="11">
        <v>112.617391334148</v>
      </c>
      <c r="Q51" s="11">
        <v>112.628460250096</v>
      </c>
      <c r="R51" s="11">
        <v>113.60538608417799</v>
      </c>
      <c r="S51" s="11">
        <v>113.60538608417799</v>
      </c>
      <c r="T51" s="11">
        <v>113.62363137514301</v>
      </c>
      <c r="U51" s="11">
        <v>114.713240250014</v>
      </c>
      <c r="V51" s="12" t="s">
        <v>32</v>
      </c>
      <c r="W51" s="11">
        <v>1.1044297500047799</v>
      </c>
      <c r="X51" s="12" t="s">
        <v>33</v>
      </c>
      <c r="Y51" s="11">
        <v>2</v>
      </c>
      <c r="Z51" s="11">
        <v>1</v>
      </c>
      <c r="AA51" s="12" t="s">
        <v>34</v>
      </c>
      <c r="AB51" s="12" t="s">
        <v>35</v>
      </c>
      <c r="AC51" s="13"/>
      <c r="AD51" s="12" t="s">
        <v>36</v>
      </c>
      <c r="AE51" s="12" t="s">
        <v>33</v>
      </c>
      <c r="AF51" s="12" t="s">
        <v>37</v>
      </c>
      <c r="AG51" s="13"/>
    </row>
    <row r="52" spans="1:33" ht="20" customHeight="1" x14ac:dyDescent="0.15">
      <c r="A52" s="9">
        <v>17</v>
      </c>
      <c r="B52" s="10">
        <v>24</v>
      </c>
      <c r="C52" s="11">
        <v>72</v>
      </c>
      <c r="D52" s="11">
        <v>50</v>
      </c>
      <c r="E52" s="11">
        <v>50</v>
      </c>
      <c r="F52" s="11">
        <v>0</v>
      </c>
      <c r="G52" s="12" t="s">
        <v>38</v>
      </c>
      <c r="H52" s="11">
        <v>1.11110699991696</v>
      </c>
      <c r="I52" s="12" t="s">
        <v>33</v>
      </c>
      <c r="J52" s="11">
        <v>0</v>
      </c>
      <c r="K52" s="11">
        <v>50</v>
      </c>
      <c r="L52" s="11">
        <v>50</v>
      </c>
      <c r="M52" s="11">
        <v>88</v>
      </c>
      <c r="N52" s="11">
        <v>114.730485292152</v>
      </c>
      <c r="O52" s="13"/>
      <c r="P52" s="11">
        <v>114.719972291961</v>
      </c>
      <c r="Q52" s="11">
        <v>114.730485292152</v>
      </c>
      <c r="R52" s="11">
        <v>115.70568000013</v>
      </c>
      <c r="S52" s="11">
        <v>115.70568000013</v>
      </c>
      <c r="T52" s="11">
        <v>115.730023375014</v>
      </c>
      <c r="U52" s="11">
        <v>116.824372417061</v>
      </c>
      <c r="V52" s="12" t="s">
        <v>38</v>
      </c>
      <c r="W52" s="11">
        <v>1.11110699991696</v>
      </c>
      <c r="X52" s="12" t="s">
        <v>33</v>
      </c>
      <c r="Y52" s="11">
        <v>2</v>
      </c>
      <c r="Z52" s="11">
        <v>1</v>
      </c>
      <c r="AA52" s="12" t="s">
        <v>34</v>
      </c>
      <c r="AB52" s="12" t="s">
        <v>35</v>
      </c>
      <c r="AC52" s="13"/>
      <c r="AD52" s="12" t="s">
        <v>36</v>
      </c>
      <c r="AE52" s="12" t="s">
        <v>33</v>
      </c>
      <c r="AF52" s="12" t="s">
        <v>37</v>
      </c>
      <c r="AG52" s="13"/>
    </row>
    <row r="53" spans="1:33" ht="20" customHeight="1" x14ac:dyDescent="0.15">
      <c r="A53" s="9">
        <v>21</v>
      </c>
      <c r="B53" s="10">
        <v>27</v>
      </c>
      <c r="C53" s="11">
        <v>139</v>
      </c>
      <c r="D53" s="11">
        <v>51</v>
      </c>
      <c r="E53" s="11">
        <v>51</v>
      </c>
      <c r="F53" s="11">
        <v>0</v>
      </c>
      <c r="G53" s="12" t="s">
        <v>38</v>
      </c>
      <c r="H53" s="11">
        <v>1.6722186249680799</v>
      </c>
      <c r="I53" s="12" t="s">
        <v>33</v>
      </c>
      <c r="J53" s="11">
        <v>0</v>
      </c>
      <c r="K53" s="11">
        <v>51</v>
      </c>
      <c r="L53" s="11">
        <v>51</v>
      </c>
      <c r="M53" s="11">
        <v>96</v>
      </c>
      <c r="N53" s="11">
        <v>116.84033170901201</v>
      </c>
      <c r="O53" s="13"/>
      <c r="P53" s="11">
        <v>116.83073958405301</v>
      </c>
      <c r="Q53" s="11">
        <v>116.84033170901201</v>
      </c>
      <c r="R53" s="11">
        <v>117.815517750103</v>
      </c>
      <c r="S53" s="11">
        <v>117.815517750103</v>
      </c>
      <c r="T53" s="11">
        <v>117.840174042154</v>
      </c>
      <c r="U53" s="11">
        <v>119.492208334152</v>
      </c>
      <c r="V53" s="12" t="s">
        <v>38</v>
      </c>
      <c r="W53" s="11">
        <v>1.6722186249680799</v>
      </c>
      <c r="X53" s="12" t="s">
        <v>33</v>
      </c>
      <c r="Y53" s="11">
        <v>2</v>
      </c>
      <c r="Z53" s="11">
        <v>1</v>
      </c>
      <c r="AA53" s="12" t="s">
        <v>34</v>
      </c>
      <c r="AB53" s="12" t="s">
        <v>35</v>
      </c>
      <c r="AC53" s="13"/>
      <c r="AD53" s="12" t="s">
        <v>36</v>
      </c>
      <c r="AE53" s="12" t="s">
        <v>33</v>
      </c>
      <c r="AF53" s="12" t="s">
        <v>37</v>
      </c>
      <c r="AG53" s="13"/>
    </row>
    <row r="54" spans="1:33" ht="20" customHeight="1" x14ac:dyDescent="0.15">
      <c r="A54" s="9">
        <v>54</v>
      </c>
      <c r="B54" s="10">
        <v>78</v>
      </c>
      <c r="C54" s="11">
        <v>150</v>
      </c>
      <c r="D54" s="11">
        <v>52</v>
      </c>
      <c r="E54" s="11">
        <v>52</v>
      </c>
      <c r="F54" s="11">
        <v>0</v>
      </c>
      <c r="G54" s="12" t="s">
        <v>32</v>
      </c>
      <c r="H54" s="11">
        <v>1.8415137489791999</v>
      </c>
      <c r="I54" s="12" t="s">
        <v>33</v>
      </c>
      <c r="J54" s="11">
        <v>0</v>
      </c>
      <c r="K54" s="11">
        <v>52</v>
      </c>
      <c r="L54" s="11">
        <v>52</v>
      </c>
      <c r="M54" s="11">
        <v>80</v>
      </c>
      <c r="N54" s="11">
        <v>119.509607792133</v>
      </c>
      <c r="O54" s="13"/>
      <c r="P54" s="11">
        <v>119.49892004206799</v>
      </c>
      <c r="Q54" s="11">
        <v>119.509607792133</v>
      </c>
      <c r="R54" s="11">
        <v>120.48910183413</v>
      </c>
      <c r="S54" s="11">
        <v>120.48910183413</v>
      </c>
      <c r="T54" s="11">
        <v>120.507004625164</v>
      </c>
      <c r="U54" s="11">
        <v>122.34216216695501</v>
      </c>
      <c r="V54" s="12" t="s">
        <v>32</v>
      </c>
      <c r="W54" s="11">
        <v>1.8415137489791999</v>
      </c>
      <c r="X54" s="12" t="s">
        <v>33</v>
      </c>
      <c r="Y54" s="11">
        <v>2</v>
      </c>
      <c r="Z54" s="11">
        <v>1</v>
      </c>
      <c r="AA54" s="12" t="s">
        <v>34</v>
      </c>
      <c r="AB54" s="12" t="s">
        <v>35</v>
      </c>
      <c r="AC54" s="13"/>
      <c r="AD54" s="12" t="s">
        <v>36</v>
      </c>
      <c r="AE54" s="12" t="s">
        <v>33</v>
      </c>
      <c r="AF54" s="12" t="s">
        <v>37</v>
      </c>
      <c r="AG54" s="13"/>
    </row>
    <row r="55" spans="1:33" ht="20" customHeight="1" x14ac:dyDescent="0.15">
      <c r="A55" s="9">
        <v>71</v>
      </c>
      <c r="B55" s="10">
        <v>92</v>
      </c>
      <c r="C55" s="11">
        <v>151</v>
      </c>
      <c r="D55" s="11">
        <v>53</v>
      </c>
      <c r="E55" s="11">
        <v>53</v>
      </c>
      <c r="F55" s="11">
        <v>0</v>
      </c>
      <c r="G55" s="12" t="s">
        <v>32</v>
      </c>
      <c r="H55" s="11">
        <v>1.02603574888781</v>
      </c>
      <c r="I55" s="12" t="s">
        <v>33</v>
      </c>
      <c r="J55" s="11">
        <v>0</v>
      </c>
      <c r="K55" s="11">
        <v>53</v>
      </c>
      <c r="L55" s="11">
        <v>53</v>
      </c>
      <c r="M55" s="11">
        <v>30</v>
      </c>
      <c r="N55" s="11">
        <v>122.359460917069</v>
      </c>
      <c r="O55" s="13"/>
      <c r="P55" s="11">
        <v>122.34919187496401</v>
      </c>
      <c r="Q55" s="11">
        <v>122.359460917069</v>
      </c>
      <c r="R55" s="11">
        <v>123.338556084083</v>
      </c>
      <c r="S55" s="11">
        <v>123.338556084083</v>
      </c>
      <c r="T55" s="11">
        <v>123.356862999965</v>
      </c>
      <c r="U55" s="11">
        <v>124.375026625115</v>
      </c>
      <c r="V55" s="12" t="s">
        <v>32</v>
      </c>
      <c r="W55" s="11">
        <v>1.02603574888781</v>
      </c>
      <c r="X55" s="12" t="s">
        <v>33</v>
      </c>
      <c r="Y55" s="11">
        <v>2</v>
      </c>
      <c r="Z55" s="11">
        <v>1</v>
      </c>
      <c r="AA55" s="12" t="s">
        <v>34</v>
      </c>
      <c r="AB55" s="12" t="s">
        <v>35</v>
      </c>
      <c r="AC55" s="13"/>
      <c r="AD55" s="12" t="s">
        <v>36</v>
      </c>
      <c r="AE55" s="12" t="s">
        <v>33</v>
      </c>
      <c r="AF55" s="12" t="s">
        <v>37</v>
      </c>
      <c r="AG55" s="13"/>
    </row>
    <row r="56" spans="1:33" ht="20" customHeight="1" x14ac:dyDescent="0.15">
      <c r="A56" s="9">
        <v>47</v>
      </c>
      <c r="B56" s="10">
        <v>56</v>
      </c>
      <c r="C56" s="11">
        <v>120</v>
      </c>
      <c r="D56" s="11">
        <v>54</v>
      </c>
      <c r="E56" s="11">
        <v>54</v>
      </c>
      <c r="F56" s="11">
        <v>0</v>
      </c>
      <c r="G56" s="12" t="s">
        <v>38</v>
      </c>
      <c r="H56" s="11">
        <v>1.7922703330405101</v>
      </c>
      <c r="I56" s="12" t="s">
        <v>33</v>
      </c>
      <c r="J56" s="11">
        <v>0</v>
      </c>
      <c r="K56" s="11">
        <v>54</v>
      </c>
      <c r="L56" s="11">
        <v>54</v>
      </c>
      <c r="M56" s="11">
        <v>17</v>
      </c>
      <c r="N56" s="11">
        <v>124.39289304195</v>
      </c>
      <c r="O56" s="13"/>
      <c r="P56" s="11">
        <v>124.38291658414499</v>
      </c>
      <c r="Q56" s="11">
        <v>124.39289304195</v>
      </c>
      <c r="R56" s="11">
        <v>125.37320504197901</v>
      </c>
      <c r="S56" s="11">
        <v>125.37320504197901</v>
      </c>
      <c r="T56" s="11">
        <v>125.390002459055</v>
      </c>
      <c r="U56" s="11">
        <v>127.175478792051</v>
      </c>
      <c r="V56" s="12" t="s">
        <v>38</v>
      </c>
      <c r="W56" s="11">
        <v>1.7922703330405101</v>
      </c>
      <c r="X56" s="12" t="s">
        <v>33</v>
      </c>
      <c r="Y56" s="11">
        <v>2</v>
      </c>
      <c r="Z56" s="11">
        <v>1</v>
      </c>
      <c r="AA56" s="12" t="s">
        <v>34</v>
      </c>
      <c r="AB56" s="12" t="s">
        <v>35</v>
      </c>
      <c r="AC56" s="13"/>
      <c r="AD56" s="12" t="s">
        <v>36</v>
      </c>
      <c r="AE56" s="12" t="s">
        <v>33</v>
      </c>
      <c r="AF56" s="12" t="s">
        <v>37</v>
      </c>
      <c r="AG56" s="13"/>
    </row>
    <row r="57" spans="1:33" ht="20" customHeight="1" x14ac:dyDescent="0.15">
      <c r="A57" s="9">
        <v>43</v>
      </c>
      <c r="B57" s="10">
        <v>54</v>
      </c>
      <c r="C57" s="11">
        <v>124</v>
      </c>
      <c r="D57" s="11">
        <v>55</v>
      </c>
      <c r="E57" s="11">
        <v>55</v>
      </c>
      <c r="F57" s="11">
        <v>0</v>
      </c>
      <c r="G57" s="12" t="s">
        <v>38</v>
      </c>
      <c r="H57" s="11">
        <v>1.10107183293439</v>
      </c>
      <c r="I57" s="12" t="s">
        <v>33</v>
      </c>
      <c r="J57" s="11">
        <v>0</v>
      </c>
      <c r="K57" s="11">
        <v>55</v>
      </c>
      <c r="L57" s="11">
        <v>55</v>
      </c>
      <c r="M57" s="11">
        <v>66</v>
      </c>
      <c r="N57" s="11">
        <v>127.19270408409599</v>
      </c>
      <c r="O57" s="13"/>
      <c r="P57" s="11">
        <v>127.182553209132</v>
      </c>
      <c r="Q57" s="11">
        <v>127.19270408409599</v>
      </c>
      <c r="R57" s="11">
        <v>128.17241183412301</v>
      </c>
      <c r="S57" s="11">
        <v>128.17241183412301</v>
      </c>
      <c r="T57" s="11">
        <v>128.19018570915799</v>
      </c>
      <c r="U57" s="11">
        <v>129.275566792116</v>
      </c>
      <c r="V57" s="12" t="s">
        <v>38</v>
      </c>
      <c r="W57" s="11">
        <v>1.10107183293439</v>
      </c>
      <c r="X57" s="12" t="s">
        <v>33</v>
      </c>
      <c r="Y57" s="11">
        <v>2</v>
      </c>
      <c r="Z57" s="11">
        <v>1</v>
      </c>
      <c r="AA57" s="12" t="s">
        <v>34</v>
      </c>
      <c r="AB57" s="12" t="s">
        <v>35</v>
      </c>
      <c r="AC57" s="13"/>
      <c r="AD57" s="12" t="s">
        <v>36</v>
      </c>
      <c r="AE57" s="12" t="s">
        <v>33</v>
      </c>
      <c r="AF57" s="12" t="s">
        <v>37</v>
      </c>
      <c r="AG57" s="13"/>
    </row>
    <row r="58" spans="1:33" ht="20" customHeight="1" x14ac:dyDescent="0.15">
      <c r="A58" s="9">
        <v>18</v>
      </c>
      <c r="B58" s="10">
        <v>48</v>
      </c>
      <c r="C58" s="11">
        <v>86</v>
      </c>
      <c r="D58" s="11">
        <v>56</v>
      </c>
      <c r="E58" s="11">
        <v>56</v>
      </c>
      <c r="F58" s="11">
        <v>0</v>
      </c>
      <c r="G58" s="12" t="s">
        <v>32</v>
      </c>
      <c r="H58" s="11">
        <v>0.91464133304543804</v>
      </c>
      <c r="I58" s="12" t="s">
        <v>33</v>
      </c>
      <c r="J58" s="11">
        <v>0</v>
      </c>
      <c r="K58" s="11">
        <v>56</v>
      </c>
      <c r="L58" s="11">
        <v>56</v>
      </c>
      <c r="M58" s="11">
        <v>83</v>
      </c>
      <c r="N58" s="11">
        <v>129.29307370912301</v>
      </c>
      <c r="O58" s="13"/>
      <c r="P58" s="11">
        <v>129.28274558414699</v>
      </c>
      <c r="Q58" s="11">
        <v>129.29307370912301</v>
      </c>
      <c r="R58" s="11">
        <v>130.27173266699501</v>
      </c>
      <c r="S58" s="11">
        <v>130.27173266699501</v>
      </c>
      <c r="T58" s="11">
        <v>130.290151583962</v>
      </c>
      <c r="U58" s="11">
        <v>131.19209025008601</v>
      </c>
      <c r="V58" s="12" t="s">
        <v>32</v>
      </c>
      <c r="W58" s="11">
        <v>0.91464133304543804</v>
      </c>
      <c r="X58" s="12" t="s">
        <v>33</v>
      </c>
      <c r="Y58" s="11">
        <v>2</v>
      </c>
      <c r="Z58" s="11">
        <v>1</v>
      </c>
      <c r="AA58" s="12" t="s">
        <v>34</v>
      </c>
      <c r="AB58" s="12" t="s">
        <v>35</v>
      </c>
      <c r="AC58" s="13"/>
      <c r="AD58" s="12" t="s">
        <v>36</v>
      </c>
      <c r="AE58" s="12" t="s">
        <v>33</v>
      </c>
      <c r="AF58" s="12" t="s">
        <v>37</v>
      </c>
      <c r="AG58" s="13"/>
    </row>
    <row r="59" spans="1:33" ht="20" customHeight="1" x14ac:dyDescent="0.15">
      <c r="A59" s="9">
        <v>48</v>
      </c>
      <c r="B59" s="10">
        <v>59</v>
      </c>
      <c r="C59" s="11">
        <v>15</v>
      </c>
      <c r="D59" s="11">
        <v>57</v>
      </c>
      <c r="E59" s="11">
        <v>57</v>
      </c>
      <c r="F59" s="11">
        <v>0</v>
      </c>
      <c r="G59" s="12" t="s">
        <v>38</v>
      </c>
      <c r="H59" s="11">
        <v>1.35983391618356</v>
      </c>
      <c r="I59" s="12" t="s">
        <v>33</v>
      </c>
      <c r="J59" s="11">
        <v>0</v>
      </c>
      <c r="K59" s="11">
        <v>57</v>
      </c>
      <c r="L59" s="11">
        <v>57</v>
      </c>
      <c r="M59" s="11">
        <v>41</v>
      </c>
      <c r="N59" s="11">
        <v>131.209527499974</v>
      </c>
      <c r="O59" s="13"/>
      <c r="P59" s="11">
        <v>131.199581084074</v>
      </c>
      <c r="Q59" s="11">
        <v>131.209527499974</v>
      </c>
      <c r="R59" s="11">
        <v>132.188465917017</v>
      </c>
      <c r="S59" s="11">
        <v>132.188465917017</v>
      </c>
      <c r="T59" s="11">
        <v>132.20696429209801</v>
      </c>
      <c r="U59" s="11">
        <v>133.558357417118</v>
      </c>
      <c r="V59" s="12" t="s">
        <v>38</v>
      </c>
      <c r="W59" s="11">
        <v>1.35983391618356</v>
      </c>
      <c r="X59" s="12" t="s">
        <v>33</v>
      </c>
      <c r="Y59" s="11">
        <v>2</v>
      </c>
      <c r="Z59" s="11">
        <v>1</v>
      </c>
      <c r="AA59" s="12" t="s">
        <v>34</v>
      </c>
      <c r="AB59" s="12" t="s">
        <v>35</v>
      </c>
      <c r="AC59" s="13"/>
      <c r="AD59" s="12" t="s">
        <v>36</v>
      </c>
      <c r="AE59" s="12" t="s">
        <v>33</v>
      </c>
      <c r="AF59" s="12" t="s">
        <v>37</v>
      </c>
      <c r="AG59" s="13"/>
    </row>
    <row r="60" spans="1:33" ht="20" customHeight="1" x14ac:dyDescent="0.15">
      <c r="A60" s="9">
        <v>13</v>
      </c>
      <c r="B60" s="10">
        <v>39</v>
      </c>
      <c r="C60" s="11">
        <v>163</v>
      </c>
      <c r="D60" s="11">
        <v>58</v>
      </c>
      <c r="E60" s="11">
        <v>58</v>
      </c>
      <c r="F60" s="11">
        <v>0</v>
      </c>
      <c r="G60" s="12" t="s">
        <v>38</v>
      </c>
      <c r="H60" s="11">
        <v>2.1506098750978699</v>
      </c>
      <c r="I60" s="12" t="s">
        <v>33</v>
      </c>
      <c r="J60" s="11">
        <v>0</v>
      </c>
      <c r="K60" s="11">
        <v>58</v>
      </c>
      <c r="L60" s="11">
        <v>58</v>
      </c>
      <c r="M60" s="11">
        <v>43</v>
      </c>
      <c r="N60" s="11">
        <v>133.576286875177</v>
      </c>
      <c r="O60" s="13"/>
      <c r="P60" s="11">
        <v>133.56540770898599</v>
      </c>
      <c r="Q60" s="11">
        <v>133.576286875177</v>
      </c>
      <c r="R60" s="11">
        <v>134.55573200015399</v>
      </c>
      <c r="S60" s="11">
        <v>134.55573200015399</v>
      </c>
      <c r="T60" s="11">
        <v>134.573540166952</v>
      </c>
      <c r="U60" s="11">
        <v>136.70871520903901</v>
      </c>
      <c r="V60" s="12" t="s">
        <v>38</v>
      </c>
      <c r="W60" s="11">
        <v>2.1506098750978699</v>
      </c>
      <c r="X60" s="12" t="s">
        <v>33</v>
      </c>
      <c r="Y60" s="11">
        <v>2</v>
      </c>
      <c r="Z60" s="11">
        <v>1</v>
      </c>
      <c r="AA60" s="12" t="s">
        <v>34</v>
      </c>
      <c r="AB60" s="12" t="s">
        <v>35</v>
      </c>
      <c r="AC60" s="13"/>
      <c r="AD60" s="12" t="s">
        <v>36</v>
      </c>
      <c r="AE60" s="12" t="s">
        <v>33</v>
      </c>
      <c r="AF60" s="12" t="s">
        <v>37</v>
      </c>
      <c r="AG60" s="13"/>
    </row>
    <row r="61" spans="1:33" ht="20" customHeight="1" x14ac:dyDescent="0.15">
      <c r="A61" s="9">
        <v>53</v>
      </c>
      <c r="B61" s="10">
        <v>69</v>
      </c>
      <c r="C61" s="11">
        <v>117</v>
      </c>
      <c r="D61" s="11">
        <v>59</v>
      </c>
      <c r="E61" s="11">
        <v>59</v>
      </c>
      <c r="F61" s="11">
        <v>0</v>
      </c>
      <c r="G61" s="12" t="s">
        <v>38</v>
      </c>
      <c r="H61" s="11">
        <v>3.4139168330002598</v>
      </c>
      <c r="I61" s="12" t="s">
        <v>33</v>
      </c>
      <c r="J61" s="11">
        <v>0</v>
      </c>
      <c r="K61" s="11">
        <v>59</v>
      </c>
      <c r="L61" s="11">
        <v>59</v>
      </c>
      <c r="M61" s="11">
        <v>51</v>
      </c>
      <c r="N61" s="11">
        <v>136.72504529217301</v>
      </c>
      <c r="O61" s="13"/>
      <c r="P61" s="11">
        <v>136.715425750008</v>
      </c>
      <c r="Q61" s="11">
        <v>136.72504529217301</v>
      </c>
      <c r="R61" s="11">
        <v>137.705653375015</v>
      </c>
      <c r="S61" s="11">
        <v>137.705653375015</v>
      </c>
      <c r="T61" s="11">
        <v>137.72363650007199</v>
      </c>
      <c r="U61" s="11">
        <v>141.12514391704499</v>
      </c>
      <c r="V61" s="12" t="s">
        <v>38</v>
      </c>
      <c r="W61" s="11">
        <v>3.4139168330002598</v>
      </c>
      <c r="X61" s="12" t="s">
        <v>33</v>
      </c>
      <c r="Y61" s="11">
        <v>2</v>
      </c>
      <c r="Z61" s="11">
        <v>1</v>
      </c>
      <c r="AA61" s="12" t="s">
        <v>34</v>
      </c>
      <c r="AB61" s="12" t="s">
        <v>35</v>
      </c>
      <c r="AC61" s="13"/>
      <c r="AD61" s="12" t="s">
        <v>36</v>
      </c>
      <c r="AE61" s="12" t="s">
        <v>33</v>
      </c>
      <c r="AF61" s="12" t="s">
        <v>37</v>
      </c>
      <c r="AG61" s="13"/>
    </row>
    <row r="62" spans="1:33" ht="20" customHeight="1" x14ac:dyDescent="0.15">
      <c r="A62" s="9">
        <v>68</v>
      </c>
      <c r="B62" s="10">
        <v>82</v>
      </c>
      <c r="C62" s="11">
        <v>152</v>
      </c>
      <c r="D62" s="11">
        <v>60</v>
      </c>
      <c r="E62" s="11">
        <v>60</v>
      </c>
      <c r="F62" s="11">
        <v>0</v>
      </c>
      <c r="G62" s="12" t="s">
        <v>32</v>
      </c>
      <c r="H62" s="11">
        <v>2.5408630408346702</v>
      </c>
      <c r="I62" s="12" t="s">
        <v>33</v>
      </c>
      <c r="J62" s="11">
        <v>0</v>
      </c>
      <c r="K62" s="11">
        <v>60</v>
      </c>
      <c r="L62" s="11">
        <v>60</v>
      </c>
      <c r="M62" s="11">
        <v>26</v>
      </c>
      <c r="N62" s="11">
        <v>141.14295887504699</v>
      </c>
      <c r="O62" s="13"/>
      <c r="P62" s="11">
        <v>141.13360504200699</v>
      </c>
      <c r="Q62" s="11">
        <v>141.14295887504699</v>
      </c>
      <c r="R62" s="11">
        <v>142.12234037509199</v>
      </c>
      <c r="S62" s="11">
        <v>142.12234037509199</v>
      </c>
      <c r="T62" s="11">
        <v>142.140253958991</v>
      </c>
      <c r="U62" s="11">
        <v>144.66525162500301</v>
      </c>
      <c r="V62" s="12" t="s">
        <v>32</v>
      </c>
      <c r="W62" s="11">
        <v>2.5408630408346702</v>
      </c>
      <c r="X62" s="12" t="s">
        <v>33</v>
      </c>
      <c r="Y62" s="11">
        <v>2</v>
      </c>
      <c r="Z62" s="11">
        <v>1</v>
      </c>
      <c r="AA62" s="12" t="s">
        <v>34</v>
      </c>
      <c r="AB62" s="12" t="s">
        <v>35</v>
      </c>
      <c r="AC62" s="13"/>
      <c r="AD62" s="12" t="s">
        <v>36</v>
      </c>
      <c r="AE62" s="12" t="s">
        <v>33</v>
      </c>
      <c r="AF62" s="12" t="s">
        <v>37</v>
      </c>
      <c r="AG62" s="13"/>
    </row>
    <row r="63" spans="1:33" ht="20" customHeight="1" x14ac:dyDescent="0.15">
      <c r="A63" s="9">
        <v>30</v>
      </c>
      <c r="B63" s="10">
        <v>47</v>
      </c>
      <c r="C63" s="11">
        <v>133</v>
      </c>
      <c r="D63" s="11">
        <v>61</v>
      </c>
      <c r="E63" s="11">
        <v>61</v>
      </c>
      <c r="F63" s="11">
        <v>0</v>
      </c>
      <c r="G63" s="12" t="s">
        <v>38</v>
      </c>
      <c r="H63" s="11">
        <v>1.40589920803905</v>
      </c>
      <c r="I63" s="12" t="s">
        <v>33</v>
      </c>
      <c r="J63" s="11">
        <v>0</v>
      </c>
      <c r="K63" s="11">
        <v>61</v>
      </c>
      <c r="L63" s="11">
        <v>61</v>
      </c>
      <c r="M63" s="11">
        <v>40</v>
      </c>
      <c r="N63" s="11">
        <v>144.68240900011699</v>
      </c>
      <c r="O63" s="13"/>
      <c r="P63" s="11">
        <v>144.672083958983</v>
      </c>
      <c r="Q63" s="11">
        <v>144.68240900011699</v>
      </c>
      <c r="R63" s="11">
        <v>145.66428908403</v>
      </c>
      <c r="S63" s="11">
        <v>145.66428908403</v>
      </c>
      <c r="T63" s="11">
        <v>145.677658166969</v>
      </c>
      <c r="U63" s="11">
        <v>147.07482883404001</v>
      </c>
      <c r="V63" s="12" t="s">
        <v>38</v>
      </c>
      <c r="W63" s="11">
        <v>1.40589920803905</v>
      </c>
      <c r="X63" s="12" t="s">
        <v>33</v>
      </c>
      <c r="Y63" s="11">
        <v>2</v>
      </c>
      <c r="Z63" s="11">
        <v>1</v>
      </c>
      <c r="AA63" s="12" t="s">
        <v>34</v>
      </c>
      <c r="AB63" s="12" t="s">
        <v>35</v>
      </c>
      <c r="AC63" s="13"/>
      <c r="AD63" s="12" t="s">
        <v>36</v>
      </c>
      <c r="AE63" s="12" t="s">
        <v>33</v>
      </c>
      <c r="AF63" s="12" t="s">
        <v>37</v>
      </c>
      <c r="AG63" s="13"/>
    </row>
    <row r="64" spans="1:33" ht="20" customHeight="1" x14ac:dyDescent="0.15">
      <c r="A64" s="9">
        <v>78</v>
      </c>
      <c r="B64" s="10">
        <v>80</v>
      </c>
      <c r="C64" s="11">
        <v>162</v>
      </c>
      <c r="D64" s="11">
        <v>62</v>
      </c>
      <c r="E64" s="11">
        <v>62</v>
      </c>
      <c r="F64" s="11">
        <v>0</v>
      </c>
      <c r="G64" s="12" t="s">
        <v>38</v>
      </c>
      <c r="H64" s="11">
        <v>0.907678999938071</v>
      </c>
      <c r="I64" s="12" t="s">
        <v>33</v>
      </c>
      <c r="J64" s="11">
        <v>0</v>
      </c>
      <c r="K64" s="11">
        <v>62</v>
      </c>
      <c r="L64" s="11">
        <v>62</v>
      </c>
      <c r="M64" s="11">
        <v>6</v>
      </c>
      <c r="N64" s="11">
        <v>147.09249541699</v>
      </c>
      <c r="O64" s="13"/>
      <c r="P64" s="11">
        <v>147.08182095899201</v>
      </c>
      <c r="Q64" s="11">
        <v>147.09249541699</v>
      </c>
      <c r="R64" s="11">
        <v>148.072322542081</v>
      </c>
      <c r="S64" s="11">
        <v>148.072322542081</v>
      </c>
      <c r="T64" s="11">
        <v>148.09012554213399</v>
      </c>
      <c r="U64" s="11">
        <v>148.991765167099</v>
      </c>
      <c r="V64" s="12" t="s">
        <v>38</v>
      </c>
      <c r="W64" s="11">
        <v>0.907678999938071</v>
      </c>
      <c r="X64" s="12" t="s">
        <v>33</v>
      </c>
      <c r="Y64" s="11">
        <v>2</v>
      </c>
      <c r="Z64" s="11">
        <v>1</v>
      </c>
      <c r="AA64" s="12" t="s">
        <v>34</v>
      </c>
      <c r="AB64" s="12" t="s">
        <v>35</v>
      </c>
      <c r="AC64" s="13"/>
      <c r="AD64" s="12" t="s">
        <v>36</v>
      </c>
      <c r="AE64" s="12" t="s">
        <v>33</v>
      </c>
      <c r="AF64" s="12" t="s">
        <v>37</v>
      </c>
      <c r="AG64" s="13"/>
    </row>
    <row r="65" spans="1:33" ht="20" customHeight="1" x14ac:dyDescent="0.15">
      <c r="A65" s="9">
        <v>71</v>
      </c>
      <c r="B65" s="10">
        <v>95</v>
      </c>
      <c r="C65" s="11">
        <v>152</v>
      </c>
      <c r="D65" s="11">
        <v>63</v>
      </c>
      <c r="E65" s="11">
        <v>63</v>
      </c>
      <c r="F65" s="11">
        <v>0</v>
      </c>
      <c r="G65" s="12" t="s">
        <v>32</v>
      </c>
      <c r="H65" s="11">
        <v>1.1600442489143501</v>
      </c>
      <c r="I65" s="12" t="s">
        <v>33</v>
      </c>
      <c r="J65" s="11">
        <v>0</v>
      </c>
      <c r="K65" s="11">
        <v>63</v>
      </c>
      <c r="L65" s="11">
        <v>63</v>
      </c>
      <c r="M65" s="11">
        <v>31</v>
      </c>
      <c r="N65" s="11">
        <v>149.009416708956</v>
      </c>
      <c r="O65" s="13"/>
      <c r="P65" s="11">
        <v>148.99880299996599</v>
      </c>
      <c r="Q65" s="11">
        <v>149.009416708956</v>
      </c>
      <c r="R65" s="11">
        <v>149.988871334121</v>
      </c>
      <c r="S65" s="11">
        <v>149.988871334121</v>
      </c>
      <c r="T65" s="11">
        <v>150.00682070897901</v>
      </c>
      <c r="U65" s="11">
        <v>151.158272334142</v>
      </c>
      <c r="V65" s="12" t="s">
        <v>32</v>
      </c>
      <c r="W65" s="11">
        <v>1.1600442489143501</v>
      </c>
      <c r="X65" s="12" t="s">
        <v>33</v>
      </c>
      <c r="Y65" s="11">
        <v>2</v>
      </c>
      <c r="Z65" s="11">
        <v>1</v>
      </c>
      <c r="AA65" s="12" t="s">
        <v>34</v>
      </c>
      <c r="AB65" s="12" t="s">
        <v>35</v>
      </c>
      <c r="AC65" s="13"/>
      <c r="AD65" s="12" t="s">
        <v>36</v>
      </c>
      <c r="AE65" s="12" t="s">
        <v>33</v>
      </c>
      <c r="AF65" s="12" t="s">
        <v>37</v>
      </c>
      <c r="AG65" s="13"/>
    </row>
    <row r="66" spans="1:33" ht="20" customHeight="1" x14ac:dyDescent="0.15">
      <c r="A66" s="9">
        <v>70</v>
      </c>
      <c r="B66" s="10">
        <v>77</v>
      </c>
      <c r="C66" s="11">
        <v>164</v>
      </c>
      <c r="D66" s="11">
        <v>64</v>
      </c>
      <c r="E66" s="11">
        <v>64</v>
      </c>
      <c r="F66" s="11">
        <v>0</v>
      </c>
      <c r="G66" s="12" t="s">
        <v>38</v>
      </c>
      <c r="H66" s="11">
        <v>0.85026562400162198</v>
      </c>
      <c r="I66" s="12" t="s">
        <v>33</v>
      </c>
      <c r="J66" s="11">
        <v>0</v>
      </c>
      <c r="K66" s="11">
        <v>64</v>
      </c>
      <c r="L66" s="11">
        <v>64</v>
      </c>
      <c r="M66" s="11">
        <v>9</v>
      </c>
      <c r="N66" s="11">
        <v>151.174733834108</v>
      </c>
      <c r="O66" s="13"/>
      <c r="P66" s="11">
        <v>151.16467537498099</v>
      </c>
      <c r="Q66" s="11">
        <v>151.174733834108</v>
      </c>
      <c r="R66" s="11">
        <v>152.155690500047</v>
      </c>
      <c r="S66" s="11">
        <v>152.155690500047</v>
      </c>
      <c r="T66" s="11">
        <v>152.17337700002801</v>
      </c>
      <c r="U66" s="11">
        <v>153.00860741711199</v>
      </c>
      <c r="V66" s="12" t="s">
        <v>38</v>
      </c>
      <c r="W66" s="11">
        <v>0.85026562400162198</v>
      </c>
      <c r="X66" s="12" t="s">
        <v>33</v>
      </c>
      <c r="Y66" s="11">
        <v>2</v>
      </c>
      <c r="Z66" s="11">
        <v>1</v>
      </c>
      <c r="AA66" s="12" t="s">
        <v>34</v>
      </c>
      <c r="AB66" s="12" t="s">
        <v>35</v>
      </c>
      <c r="AC66" s="13"/>
      <c r="AD66" s="12" t="s">
        <v>36</v>
      </c>
      <c r="AE66" s="12" t="s">
        <v>33</v>
      </c>
      <c r="AF66" s="12" t="s">
        <v>37</v>
      </c>
      <c r="AG66" s="13"/>
    </row>
    <row r="67" spans="1:33" ht="20" customHeight="1" x14ac:dyDescent="0.15">
      <c r="A67" s="9">
        <v>14</v>
      </c>
      <c r="B67" s="10">
        <v>42</v>
      </c>
      <c r="C67" s="11">
        <v>52</v>
      </c>
      <c r="D67" s="11">
        <v>65</v>
      </c>
      <c r="E67" s="11">
        <v>65</v>
      </c>
      <c r="F67" s="11">
        <v>0</v>
      </c>
      <c r="G67" s="12" t="s">
        <v>32</v>
      </c>
      <c r="H67" s="11">
        <v>0.80645970790647004</v>
      </c>
      <c r="I67" s="12" t="s">
        <v>33</v>
      </c>
      <c r="J67" s="11">
        <v>0</v>
      </c>
      <c r="K67" s="11">
        <v>65</v>
      </c>
      <c r="L67" s="11">
        <v>65</v>
      </c>
      <c r="M67" s="11">
        <v>92</v>
      </c>
      <c r="N67" s="11">
        <v>153.02688645897399</v>
      </c>
      <c r="O67" s="13"/>
      <c r="P67" s="11">
        <v>153.01694583403901</v>
      </c>
      <c r="Q67" s="11">
        <v>153.02688645897399</v>
      </c>
      <c r="R67" s="11">
        <v>154.00550725008401</v>
      </c>
      <c r="S67" s="11">
        <v>154.00550725008401</v>
      </c>
      <c r="T67" s="11">
        <v>154.02329795900701</v>
      </c>
      <c r="U67" s="11">
        <v>154.814964459045</v>
      </c>
      <c r="V67" s="12" t="s">
        <v>32</v>
      </c>
      <c r="W67" s="11">
        <v>0.80645970790647004</v>
      </c>
      <c r="X67" s="12" t="s">
        <v>33</v>
      </c>
      <c r="Y67" s="11">
        <v>2</v>
      </c>
      <c r="Z67" s="11">
        <v>1</v>
      </c>
      <c r="AA67" s="12" t="s">
        <v>34</v>
      </c>
      <c r="AB67" s="12" t="s">
        <v>35</v>
      </c>
      <c r="AC67" s="13"/>
      <c r="AD67" s="12" t="s">
        <v>36</v>
      </c>
      <c r="AE67" s="12" t="s">
        <v>33</v>
      </c>
      <c r="AF67" s="12" t="s">
        <v>37</v>
      </c>
      <c r="AG67" s="13"/>
    </row>
    <row r="68" spans="1:33" ht="20" customHeight="1" x14ac:dyDescent="0.15">
      <c r="A68" s="9">
        <v>80</v>
      </c>
      <c r="B68" s="10">
        <v>101</v>
      </c>
      <c r="C68" s="11">
        <v>114</v>
      </c>
      <c r="D68" s="11">
        <v>66</v>
      </c>
      <c r="E68" s="11">
        <v>66</v>
      </c>
      <c r="F68" s="11">
        <v>0</v>
      </c>
      <c r="G68" s="12" t="s">
        <v>32</v>
      </c>
      <c r="H68" s="11">
        <v>0.99427216616459202</v>
      </c>
      <c r="I68" s="12" t="s">
        <v>33</v>
      </c>
      <c r="J68" s="11">
        <v>0</v>
      </c>
      <c r="K68" s="11">
        <v>66</v>
      </c>
      <c r="L68" s="11">
        <v>66</v>
      </c>
      <c r="M68" s="11">
        <v>82</v>
      </c>
      <c r="N68" s="11">
        <v>154.83122008410299</v>
      </c>
      <c r="O68" s="13"/>
      <c r="P68" s="11">
        <v>154.82161733415001</v>
      </c>
      <c r="Q68" s="11">
        <v>154.83122008410299</v>
      </c>
      <c r="R68" s="11">
        <v>155.814562959131</v>
      </c>
      <c r="S68" s="11">
        <v>155.814562959131</v>
      </c>
      <c r="T68" s="11">
        <v>155.82226862502301</v>
      </c>
      <c r="U68" s="11">
        <v>156.814281959087</v>
      </c>
      <c r="V68" s="12" t="s">
        <v>32</v>
      </c>
      <c r="W68" s="11">
        <v>0.99427216616459202</v>
      </c>
      <c r="X68" s="12" t="s">
        <v>33</v>
      </c>
      <c r="Y68" s="11">
        <v>2</v>
      </c>
      <c r="Z68" s="11">
        <v>1</v>
      </c>
      <c r="AA68" s="12" t="s">
        <v>34</v>
      </c>
      <c r="AB68" s="12" t="s">
        <v>35</v>
      </c>
      <c r="AC68" s="13"/>
      <c r="AD68" s="12" t="s">
        <v>36</v>
      </c>
      <c r="AE68" s="12" t="s">
        <v>33</v>
      </c>
      <c r="AF68" s="12" t="s">
        <v>37</v>
      </c>
      <c r="AG68" s="13"/>
    </row>
    <row r="69" spans="1:33" ht="20" customHeight="1" x14ac:dyDescent="0.15">
      <c r="A69" s="9">
        <v>63</v>
      </c>
      <c r="B69" s="10">
        <v>87</v>
      </c>
      <c r="C69" s="11">
        <v>135</v>
      </c>
      <c r="D69" s="11">
        <v>67</v>
      </c>
      <c r="E69" s="11">
        <v>67</v>
      </c>
      <c r="F69" s="11">
        <v>0</v>
      </c>
      <c r="G69" s="12" t="s">
        <v>38</v>
      </c>
      <c r="H69" s="11">
        <v>8.8884049169719201</v>
      </c>
      <c r="I69" s="12" t="s">
        <v>33</v>
      </c>
      <c r="J69" s="11">
        <v>0</v>
      </c>
      <c r="K69" s="11">
        <v>67</v>
      </c>
      <c r="L69" s="11">
        <v>67</v>
      </c>
      <c r="M69" s="11">
        <v>62</v>
      </c>
      <c r="N69" s="11">
        <v>156.83021295908799</v>
      </c>
      <c r="O69" s="13"/>
      <c r="P69" s="11">
        <v>156.82046620897</v>
      </c>
      <c r="Q69" s="11">
        <v>156.83021295908799</v>
      </c>
      <c r="R69" s="11">
        <v>157.813074334059</v>
      </c>
      <c r="S69" s="11">
        <v>157.813074334059</v>
      </c>
      <c r="T69" s="11">
        <v>157.82244054204801</v>
      </c>
      <c r="U69" s="11">
        <v>166.70814300002499</v>
      </c>
      <c r="V69" s="12" t="s">
        <v>38</v>
      </c>
      <c r="W69" s="11">
        <v>8.8884049169719201</v>
      </c>
      <c r="X69" s="12" t="s">
        <v>33</v>
      </c>
      <c r="Y69" s="11">
        <v>2</v>
      </c>
      <c r="Z69" s="11">
        <v>1</v>
      </c>
      <c r="AA69" s="12" t="s">
        <v>34</v>
      </c>
      <c r="AB69" s="12" t="s">
        <v>35</v>
      </c>
      <c r="AC69" s="13"/>
      <c r="AD69" s="12" t="s">
        <v>36</v>
      </c>
      <c r="AE69" s="12" t="s">
        <v>33</v>
      </c>
      <c r="AF69" s="12" t="s">
        <v>37</v>
      </c>
      <c r="AG69" s="13"/>
    </row>
    <row r="70" spans="1:33" ht="20" customHeight="1" x14ac:dyDescent="0.15">
      <c r="A70" s="9">
        <v>10</v>
      </c>
      <c r="B70" s="10">
        <v>34</v>
      </c>
      <c r="C70" s="11">
        <v>58</v>
      </c>
      <c r="D70" s="11">
        <v>68</v>
      </c>
      <c r="E70" s="11">
        <v>68</v>
      </c>
      <c r="F70" s="11">
        <v>0</v>
      </c>
      <c r="G70" s="12" t="s">
        <v>32</v>
      </c>
      <c r="H70" s="11">
        <v>2.7525398328434698</v>
      </c>
      <c r="I70" s="12" t="s">
        <v>33</v>
      </c>
      <c r="J70" s="11">
        <v>0</v>
      </c>
      <c r="K70" s="11">
        <v>68</v>
      </c>
      <c r="L70" s="11">
        <v>68</v>
      </c>
      <c r="M70" s="11">
        <v>84</v>
      </c>
      <c r="N70" s="11">
        <v>166.72667266707899</v>
      </c>
      <c r="O70" s="13"/>
      <c r="P70" s="11">
        <v>166.71580258407599</v>
      </c>
      <c r="Q70" s="11">
        <v>166.72667266707899</v>
      </c>
      <c r="R70" s="11">
        <v>167.70497950003499</v>
      </c>
      <c r="S70" s="11">
        <v>167.70497950003499</v>
      </c>
      <c r="T70" s="11">
        <v>167.72325341706201</v>
      </c>
      <c r="U70" s="11">
        <v>170.464973167051</v>
      </c>
      <c r="V70" s="12" t="s">
        <v>32</v>
      </c>
      <c r="W70" s="11">
        <v>2.7525398328434698</v>
      </c>
      <c r="X70" s="12" t="s">
        <v>33</v>
      </c>
      <c r="Y70" s="11">
        <v>2</v>
      </c>
      <c r="Z70" s="11">
        <v>1</v>
      </c>
      <c r="AA70" s="12" t="s">
        <v>34</v>
      </c>
      <c r="AB70" s="12" t="s">
        <v>35</v>
      </c>
      <c r="AC70" s="13"/>
      <c r="AD70" s="12" t="s">
        <v>36</v>
      </c>
      <c r="AE70" s="12" t="s">
        <v>33</v>
      </c>
      <c r="AF70" s="12" t="s">
        <v>37</v>
      </c>
      <c r="AG70" s="13"/>
    </row>
    <row r="71" spans="1:33" ht="20" customHeight="1" x14ac:dyDescent="0.15">
      <c r="A71" s="9">
        <v>30</v>
      </c>
      <c r="B71" s="10">
        <v>41</v>
      </c>
      <c r="C71" s="11">
        <v>101</v>
      </c>
      <c r="D71" s="11">
        <v>69</v>
      </c>
      <c r="E71" s="11">
        <v>69</v>
      </c>
      <c r="F71" s="11">
        <v>0</v>
      </c>
      <c r="G71" s="12" t="s">
        <v>38</v>
      </c>
      <c r="H71" s="11">
        <v>8.9306100409012306</v>
      </c>
      <c r="I71" s="12" t="s">
        <v>33</v>
      </c>
      <c r="J71" s="11">
        <v>0</v>
      </c>
      <c r="K71" s="11">
        <v>69</v>
      </c>
      <c r="L71" s="11">
        <v>69</v>
      </c>
      <c r="M71" s="11">
        <v>21</v>
      </c>
      <c r="N71" s="11">
        <v>170.48130229208601</v>
      </c>
      <c r="O71" s="13"/>
      <c r="P71" s="11">
        <v>170.471668791957</v>
      </c>
      <c r="Q71" s="11">
        <v>170.48130229208601</v>
      </c>
      <c r="R71" s="11">
        <v>171.46507691708399</v>
      </c>
      <c r="S71" s="11">
        <v>171.46507691708399</v>
      </c>
      <c r="T71" s="11">
        <v>171.47163604199901</v>
      </c>
      <c r="U71" s="11">
        <v>180.39841275010301</v>
      </c>
      <c r="V71" s="12" t="s">
        <v>38</v>
      </c>
      <c r="W71" s="11">
        <v>8.9306100409012306</v>
      </c>
      <c r="X71" s="12" t="s">
        <v>33</v>
      </c>
      <c r="Y71" s="11">
        <v>2</v>
      </c>
      <c r="Z71" s="11">
        <v>1</v>
      </c>
      <c r="AA71" s="12" t="s">
        <v>34</v>
      </c>
      <c r="AB71" s="12" t="s">
        <v>35</v>
      </c>
      <c r="AC71" s="13"/>
      <c r="AD71" s="12" t="s">
        <v>36</v>
      </c>
      <c r="AE71" s="12" t="s">
        <v>33</v>
      </c>
      <c r="AF71" s="12" t="s">
        <v>37</v>
      </c>
      <c r="AG71" s="13"/>
    </row>
    <row r="72" spans="1:33" ht="20" customHeight="1" x14ac:dyDescent="0.15">
      <c r="A72" s="9">
        <v>80</v>
      </c>
      <c r="B72" s="10">
        <v>96</v>
      </c>
      <c r="C72" s="11">
        <v>64</v>
      </c>
      <c r="D72" s="11">
        <v>70</v>
      </c>
      <c r="E72" s="11">
        <v>70</v>
      </c>
      <c r="F72" s="11">
        <v>0</v>
      </c>
      <c r="G72" s="12" t="s">
        <v>38</v>
      </c>
      <c r="H72" s="11">
        <v>1.44325574999675</v>
      </c>
      <c r="I72" s="12" t="s">
        <v>33</v>
      </c>
      <c r="J72" s="11">
        <v>0</v>
      </c>
      <c r="K72" s="11">
        <v>70</v>
      </c>
      <c r="L72" s="11">
        <v>70</v>
      </c>
      <c r="M72" s="11">
        <v>50</v>
      </c>
      <c r="N72" s="11">
        <v>180.415181459161</v>
      </c>
      <c r="O72" s="13"/>
      <c r="P72" s="11">
        <v>180.405307334149</v>
      </c>
      <c r="Q72" s="11">
        <v>180.415181459161</v>
      </c>
      <c r="R72" s="11">
        <v>181.397915084148</v>
      </c>
      <c r="S72" s="11">
        <v>181.397915084148</v>
      </c>
      <c r="T72" s="11">
        <v>181.40492191701199</v>
      </c>
      <c r="U72" s="11">
        <v>182.84835870913199</v>
      </c>
      <c r="V72" s="12" t="s">
        <v>38</v>
      </c>
      <c r="W72" s="11">
        <v>1.44325574999675</v>
      </c>
      <c r="X72" s="12" t="s">
        <v>33</v>
      </c>
      <c r="Y72" s="11">
        <v>2</v>
      </c>
      <c r="Z72" s="11">
        <v>1</v>
      </c>
      <c r="AA72" s="12" t="s">
        <v>34</v>
      </c>
      <c r="AB72" s="12" t="s">
        <v>35</v>
      </c>
      <c r="AC72" s="13"/>
      <c r="AD72" s="12" t="s">
        <v>36</v>
      </c>
      <c r="AE72" s="12" t="s">
        <v>33</v>
      </c>
      <c r="AF72" s="12" t="s">
        <v>37</v>
      </c>
      <c r="AG72" s="13"/>
    </row>
    <row r="73" spans="1:33" ht="20" customHeight="1" x14ac:dyDescent="0.15">
      <c r="A73" s="9">
        <v>16</v>
      </c>
      <c r="B73" s="10">
        <v>24</v>
      </c>
      <c r="C73" s="11">
        <v>108</v>
      </c>
      <c r="D73" s="11">
        <v>71</v>
      </c>
      <c r="E73" s="11">
        <v>71</v>
      </c>
      <c r="F73" s="11">
        <v>0</v>
      </c>
      <c r="G73" s="12" t="s">
        <v>38</v>
      </c>
      <c r="H73" s="11">
        <v>1.24190237512812</v>
      </c>
      <c r="I73" s="12" t="s">
        <v>33</v>
      </c>
      <c r="J73" s="11">
        <v>0</v>
      </c>
      <c r="K73" s="11">
        <v>71</v>
      </c>
      <c r="L73" s="11">
        <v>71</v>
      </c>
      <c r="M73" s="11">
        <v>39</v>
      </c>
      <c r="N73" s="11">
        <v>182.864886875032</v>
      </c>
      <c r="O73" s="13"/>
      <c r="P73" s="11">
        <v>182.85591979208399</v>
      </c>
      <c r="Q73" s="11">
        <v>182.864886875032</v>
      </c>
      <c r="R73" s="11">
        <v>183.84754045912999</v>
      </c>
      <c r="S73" s="11">
        <v>183.84754045912999</v>
      </c>
      <c r="T73" s="11">
        <v>183.85570845915899</v>
      </c>
      <c r="U73" s="11">
        <v>185.09174304199399</v>
      </c>
      <c r="V73" s="12" t="s">
        <v>38</v>
      </c>
      <c r="W73" s="11">
        <v>1.24190237512812</v>
      </c>
      <c r="X73" s="12" t="s">
        <v>33</v>
      </c>
      <c r="Y73" s="11">
        <v>2</v>
      </c>
      <c r="Z73" s="11">
        <v>1</v>
      </c>
      <c r="AA73" s="12" t="s">
        <v>34</v>
      </c>
      <c r="AB73" s="12" t="s">
        <v>35</v>
      </c>
      <c r="AC73" s="13"/>
      <c r="AD73" s="12" t="s">
        <v>36</v>
      </c>
      <c r="AE73" s="12" t="s">
        <v>33</v>
      </c>
      <c r="AF73" s="12" t="s">
        <v>37</v>
      </c>
      <c r="AG73" s="13"/>
    </row>
    <row r="74" spans="1:33" ht="20" customHeight="1" x14ac:dyDescent="0.15">
      <c r="A74" s="9">
        <v>31</v>
      </c>
      <c r="B74" s="10">
        <v>50</v>
      </c>
      <c r="C74" s="11">
        <v>149</v>
      </c>
      <c r="D74" s="11">
        <v>72</v>
      </c>
      <c r="E74" s="11">
        <v>72</v>
      </c>
      <c r="F74" s="11">
        <v>0</v>
      </c>
      <c r="G74" s="12" t="s">
        <v>32</v>
      </c>
      <c r="H74" s="11">
        <v>1.29379645781592</v>
      </c>
      <c r="I74" s="12" t="s">
        <v>33</v>
      </c>
      <c r="J74" s="11">
        <v>0</v>
      </c>
      <c r="K74" s="11">
        <v>72</v>
      </c>
      <c r="L74" s="11">
        <v>72</v>
      </c>
      <c r="M74" s="11">
        <v>13</v>
      </c>
      <c r="N74" s="11">
        <v>185.10791341704299</v>
      </c>
      <c r="O74" s="13"/>
      <c r="P74" s="11">
        <v>185.09821350011001</v>
      </c>
      <c r="Q74" s="11">
        <v>185.10791341704299</v>
      </c>
      <c r="R74" s="11">
        <v>186.08976195915599</v>
      </c>
      <c r="S74" s="11">
        <v>186.08976195915599</v>
      </c>
      <c r="T74" s="11">
        <v>186.106436459115</v>
      </c>
      <c r="U74" s="11">
        <v>187.392022958957</v>
      </c>
      <c r="V74" s="12" t="s">
        <v>32</v>
      </c>
      <c r="W74" s="11">
        <v>1.29379645781592</v>
      </c>
      <c r="X74" s="12" t="s">
        <v>33</v>
      </c>
      <c r="Y74" s="11">
        <v>2</v>
      </c>
      <c r="Z74" s="11">
        <v>1</v>
      </c>
      <c r="AA74" s="12" t="s">
        <v>34</v>
      </c>
      <c r="AB74" s="12" t="s">
        <v>35</v>
      </c>
      <c r="AC74" s="13"/>
      <c r="AD74" s="12" t="s">
        <v>36</v>
      </c>
      <c r="AE74" s="12" t="s">
        <v>33</v>
      </c>
      <c r="AF74" s="12" t="s">
        <v>37</v>
      </c>
      <c r="AG74" s="13"/>
    </row>
    <row r="75" spans="1:33" ht="20" customHeight="1" x14ac:dyDescent="0.15">
      <c r="A75" s="9">
        <v>40</v>
      </c>
      <c r="B75" s="10">
        <v>55</v>
      </c>
      <c r="C75" s="11">
        <v>62</v>
      </c>
      <c r="D75" s="11">
        <v>73</v>
      </c>
      <c r="E75" s="11">
        <v>73</v>
      </c>
      <c r="F75" s="11">
        <v>0</v>
      </c>
      <c r="G75" s="12" t="s">
        <v>38</v>
      </c>
      <c r="H75" s="11">
        <v>1.6431565000675601</v>
      </c>
      <c r="I75" s="12" t="s">
        <v>33</v>
      </c>
      <c r="J75" s="11">
        <v>0</v>
      </c>
      <c r="K75" s="11">
        <v>73</v>
      </c>
      <c r="L75" s="11">
        <v>73</v>
      </c>
      <c r="M75" s="11">
        <v>3</v>
      </c>
      <c r="N75" s="11">
        <v>187.40928108408099</v>
      </c>
      <c r="O75" s="13"/>
      <c r="P75" s="11">
        <v>187.39949762495201</v>
      </c>
      <c r="Q75" s="11">
        <v>187.40928108408099</v>
      </c>
      <c r="R75" s="11">
        <v>188.38826104207001</v>
      </c>
      <c r="S75" s="11">
        <v>188.38826104207001</v>
      </c>
      <c r="T75" s="11">
        <v>188.406797959004</v>
      </c>
      <c r="U75" s="11">
        <v>190.04200450005001</v>
      </c>
      <c r="V75" s="12" t="s">
        <v>38</v>
      </c>
      <c r="W75" s="11">
        <v>1.6431565000675601</v>
      </c>
      <c r="X75" s="12" t="s">
        <v>33</v>
      </c>
      <c r="Y75" s="11">
        <v>2</v>
      </c>
      <c r="Z75" s="11">
        <v>1</v>
      </c>
      <c r="AA75" s="12" t="s">
        <v>34</v>
      </c>
      <c r="AB75" s="12" t="s">
        <v>35</v>
      </c>
      <c r="AC75" s="13"/>
      <c r="AD75" s="12" t="s">
        <v>36</v>
      </c>
      <c r="AE75" s="12" t="s">
        <v>33</v>
      </c>
      <c r="AF75" s="12" t="s">
        <v>37</v>
      </c>
      <c r="AG75" s="13"/>
    </row>
    <row r="76" spans="1:33" ht="20" customHeight="1" x14ac:dyDescent="0.15">
      <c r="A76" s="9">
        <v>73</v>
      </c>
      <c r="B76" s="10">
        <v>90</v>
      </c>
      <c r="C76" s="11">
        <v>132</v>
      </c>
      <c r="D76" s="11">
        <v>74</v>
      </c>
      <c r="E76" s="11">
        <v>74</v>
      </c>
      <c r="F76" s="11">
        <v>0</v>
      </c>
      <c r="G76" s="12" t="s">
        <v>32</v>
      </c>
      <c r="H76" s="11">
        <v>1.2733762499410699</v>
      </c>
      <c r="I76" s="12" t="s">
        <v>33</v>
      </c>
      <c r="J76" s="11">
        <v>0</v>
      </c>
      <c r="K76" s="11">
        <v>74</v>
      </c>
      <c r="L76" s="11">
        <v>74</v>
      </c>
      <c r="M76" s="11">
        <v>36</v>
      </c>
      <c r="N76" s="11">
        <v>190.05935645895099</v>
      </c>
      <c r="O76" s="13"/>
      <c r="P76" s="11">
        <v>190.04902112507301</v>
      </c>
      <c r="Q76" s="11">
        <v>190.05935645895099</v>
      </c>
      <c r="R76" s="11">
        <v>191.03899183403701</v>
      </c>
      <c r="S76" s="11">
        <v>191.03899183403701</v>
      </c>
      <c r="T76" s="11">
        <v>191.05662608402801</v>
      </c>
      <c r="U76" s="11">
        <v>192.31538387504401</v>
      </c>
      <c r="V76" s="12" t="s">
        <v>32</v>
      </c>
      <c r="W76" s="11">
        <v>1.2733762499410699</v>
      </c>
      <c r="X76" s="12" t="s">
        <v>33</v>
      </c>
      <c r="Y76" s="11">
        <v>2</v>
      </c>
      <c r="Z76" s="11">
        <v>1</v>
      </c>
      <c r="AA76" s="12" t="s">
        <v>34</v>
      </c>
      <c r="AB76" s="12" t="s">
        <v>35</v>
      </c>
      <c r="AC76" s="13"/>
      <c r="AD76" s="12" t="s">
        <v>36</v>
      </c>
      <c r="AE76" s="12" t="s">
        <v>33</v>
      </c>
      <c r="AF76" s="12" t="s">
        <v>37</v>
      </c>
      <c r="AG76" s="13"/>
    </row>
    <row r="77" spans="1:33" ht="20" customHeight="1" x14ac:dyDescent="0.15">
      <c r="A77" s="9">
        <v>27</v>
      </c>
      <c r="B77" s="10">
        <v>50</v>
      </c>
      <c r="C77" s="11">
        <v>155</v>
      </c>
      <c r="D77" s="11">
        <v>75</v>
      </c>
      <c r="E77" s="11">
        <v>75</v>
      </c>
      <c r="F77" s="11">
        <v>0</v>
      </c>
      <c r="G77" s="12" t="s">
        <v>32</v>
      </c>
      <c r="H77" s="11">
        <v>1.1607729580719</v>
      </c>
      <c r="I77" s="12" t="s">
        <v>33</v>
      </c>
      <c r="J77" s="11">
        <v>0</v>
      </c>
      <c r="K77" s="11">
        <v>75</v>
      </c>
      <c r="L77" s="11">
        <v>75</v>
      </c>
      <c r="M77" s="11">
        <v>42</v>
      </c>
      <c r="N77" s="11">
        <v>192.332065375056</v>
      </c>
      <c r="O77" s="13"/>
      <c r="P77" s="11">
        <v>192.32232362497601</v>
      </c>
      <c r="Q77" s="11">
        <v>192.332065375056</v>
      </c>
      <c r="R77" s="11">
        <v>193.31455791695001</v>
      </c>
      <c r="S77" s="11">
        <v>193.31455791695001</v>
      </c>
      <c r="T77" s="11">
        <v>193.32217558403499</v>
      </c>
      <c r="U77" s="11">
        <v>194.480972459074</v>
      </c>
      <c r="V77" s="12" t="s">
        <v>32</v>
      </c>
      <c r="W77" s="11">
        <v>1.1607729580719</v>
      </c>
      <c r="X77" s="12" t="s">
        <v>33</v>
      </c>
      <c r="Y77" s="11">
        <v>2</v>
      </c>
      <c r="Z77" s="11">
        <v>1</v>
      </c>
      <c r="AA77" s="12" t="s">
        <v>34</v>
      </c>
      <c r="AB77" s="12" t="s">
        <v>35</v>
      </c>
      <c r="AC77" s="13"/>
      <c r="AD77" s="12" t="s">
        <v>36</v>
      </c>
      <c r="AE77" s="12" t="s">
        <v>33</v>
      </c>
      <c r="AF77" s="12" t="s">
        <v>37</v>
      </c>
      <c r="AG77" s="13"/>
    </row>
    <row r="78" spans="1:33" ht="20" customHeight="1" x14ac:dyDescent="0.15">
      <c r="A78" s="9">
        <v>69</v>
      </c>
      <c r="B78" s="10">
        <v>92</v>
      </c>
      <c r="C78" s="11">
        <v>151</v>
      </c>
      <c r="D78" s="11">
        <v>76</v>
      </c>
      <c r="E78" s="11">
        <v>76</v>
      </c>
      <c r="F78" s="11">
        <v>0</v>
      </c>
      <c r="G78" s="12" t="s">
        <v>32</v>
      </c>
      <c r="H78" s="11">
        <v>1.13081624987535</v>
      </c>
      <c r="I78" s="12" t="s">
        <v>33</v>
      </c>
      <c r="J78" s="11">
        <v>0</v>
      </c>
      <c r="K78" s="11">
        <v>76</v>
      </c>
      <c r="L78" s="11">
        <v>76</v>
      </c>
      <c r="M78" s="11">
        <v>28</v>
      </c>
      <c r="N78" s="11">
        <v>194.49686708417701</v>
      </c>
      <c r="O78" s="13"/>
      <c r="P78" s="11">
        <v>194.48781858407901</v>
      </c>
      <c r="Q78" s="11">
        <v>194.49686708417701</v>
      </c>
      <c r="R78" s="11">
        <v>195.48136687511601</v>
      </c>
      <c r="S78" s="11">
        <v>195.48136687511601</v>
      </c>
      <c r="T78" s="11">
        <v>195.488279209007</v>
      </c>
      <c r="U78" s="11">
        <v>196.61499304207999</v>
      </c>
      <c r="V78" s="12" t="s">
        <v>32</v>
      </c>
      <c r="W78" s="11">
        <v>1.13081624987535</v>
      </c>
      <c r="X78" s="12" t="s">
        <v>33</v>
      </c>
      <c r="Y78" s="11">
        <v>2</v>
      </c>
      <c r="Z78" s="11">
        <v>1</v>
      </c>
      <c r="AA78" s="12" t="s">
        <v>34</v>
      </c>
      <c r="AB78" s="12" t="s">
        <v>35</v>
      </c>
      <c r="AC78" s="13"/>
      <c r="AD78" s="12" t="s">
        <v>36</v>
      </c>
      <c r="AE78" s="12" t="s">
        <v>33</v>
      </c>
      <c r="AF78" s="12" t="s">
        <v>37</v>
      </c>
      <c r="AG78" s="13"/>
    </row>
    <row r="79" spans="1:33" ht="20" customHeight="1" x14ac:dyDescent="0.15">
      <c r="A79" s="9">
        <v>33</v>
      </c>
      <c r="B79" s="10">
        <v>40</v>
      </c>
      <c r="C79" s="11">
        <v>72</v>
      </c>
      <c r="D79" s="11">
        <v>77</v>
      </c>
      <c r="E79" s="11">
        <v>77</v>
      </c>
      <c r="F79" s="11">
        <v>0</v>
      </c>
      <c r="G79" s="12" t="s">
        <v>38</v>
      </c>
      <c r="H79" s="11">
        <v>1.10858254111372</v>
      </c>
      <c r="I79" s="12" t="s">
        <v>33</v>
      </c>
      <c r="J79" s="11">
        <v>0</v>
      </c>
      <c r="K79" s="11">
        <v>77</v>
      </c>
      <c r="L79" s="11">
        <v>77</v>
      </c>
      <c r="M79" s="11">
        <v>11</v>
      </c>
      <c r="N79" s="11">
        <v>196.63134341710199</v>
      </c>
      <c r="O79" s="13"/>
      <c r="P79" s="11">
        <v>196.62230212497499</v>
      </c>
      <c r="Q79" s="11">
        <v>196.63134341710199</v>
      </c>
      <c r="R79" s="11">
        <v>197.613735625055</v>
      </c>
      <c r="S79" s="11">
        <v>197.613735625055</v>
      </c>
      <c r="T79" s="11">
        <v>197.62247908394801</v>
      </c>
      <c r="U79" s="11">
        <v>198.725274000084</v>
      </c>
      <c r="V79" s="12" t="s">
        <v>38</v>
      </c>
      <c r="W79" s="11">
        <v>1.10858254111372</v>
      </c>
      <c r="X79" s="12" t="s">
        <v>33</v>
      </c>
      <c r="Y79" s="11">
        <v>2</v>
      </c>
      <c r="Z79" s="11">
        <v>1</v>
      </c>
      <c r="AA79" s="12" t="s">
        <v>34</v>
      </c>
      <c r="AB79" s="12" t="s">
        <v>35</v>
      </c>
      <c r="AC79" s="13"/>
      <c r="AD79" s="12" t="s">
        <v>36</v>
      </c>
      <c r="AE79" s="12" t="s">
        <v>33</v>
      </c>
      <c r="AF79" s="12" t="s">
        <v>37</v>
      </c>
      <c r="AG79" s="13"/>
    </row>
    <row r="80" spans="1:33" ht="20" customHeight="1" x14ac:dyDescent="0.15">
      <c r="A80" s="9">
        <v>27</v>
      </c>
      <c r="B80" s="10">
        <v>50</v>
      </c>
      <c r="C80" s="11">
        <v>21</v>
      </c>
      <c r="D80" s="11">
        <v>78</v>
      </c>
      <c r="E80" s="11">
        <v>78</v>
      </c>
      <c r="F80" s="11">
        <v>0</v>
      </c>
      <c r="G80" s="12" t="s">
        <v>32</v>
      </c>
      <c r="H80" s="11">
        <v>0.86502541601657901</v>
      </c>
      <c r="I80" s="12" t="s">
        <v>33</v>
      </c>
      <c r="J80" s="11">
        <v>0</v>
      </c>
      <c r="K80" s="11">
        <v>78</v>
      </c>
      <c r="L80" s="11">
        <v>78</v>
      </c>
      <c r="M80" s="11">
        <v>2</v>
      </c>
      <c r="N80" s="11">
        <v>198.742769374978</v>
      </c>
      <c r="O80" s="13"/>
      <c r="P80" s="11">
        <v>198.73292358405899</v>
      </c>
      <c r="Q80" s="11">
        <v>198.742769374978</v>
      </c>
      <c r="R80" s="11">
        <v>199.72220854205099</v>
      </c>
      <c r="S80" s="11">
        <v>199.72220854205099</v>
      </c>
      <c r="T80" s="11">
        <v>199.739887584001</v>
      </c>
      <c r="U80" s="11">
        <v>200.59193191700601</v>
      </c>
      <c r="V80" s="12" t="s">
        <v>32</v>
      </c>
      <c r="W80" s="11">
        <v>0.86502541601657901</v>
      </c>
      <c r="X80" s="12" t="s">
        <v>33</v>
      </c>
      <c r="Y80" s="11">
        <v>2</v>
      </c>
      <c r="Z80" s="11">
        <v>1</v>
      </c>
      <c r="AA80" s="12" t="s">
        <v>34</v>
      </c>
      <c r="AB80" s="12" t="s">
        <v>35</v>
      </c>
      <c r="AC80" s="13"/>
      <c r="AD80" s="12" t="s">
        <v>36</v>
      </c>
      <c r="AE80" s="12" t="s">
        <v>33</v>
      </c>
      <c r="AF80" s="12" t="s">
        <v>37</v>
      </c>
      <c r="AG80" s="13"/>
    </row>
    <row r="81" spans="1:33" ht="20" customHeight="1" x14ac:dyDescent="0.15">
      <c r="A81" s="9">
        <v>53</v>
      </c>
      <c r="B81" s="10">
        <v>60</v>
      </c>
      <c r="C81" s="11">
        <v>58</v>
      </c>
      <c r="D81" s="11">
        <v>79</v>
      </c>
      <c r="E81" s="11">
        <v>79</v>
      </c>
      <c r="F81" s="11">
        <v>0</v>
      </c>
      <c r="G81" s="12" t="s">
        <v>38</v>
      </c>
      <c r="H81" s="11">
        <v>1.19574133306742</v>
      </c>
      <c r="I81" s="12" t="s">
        <v>33</v>
      </c>
      <c r="J81" s="11">
        <v>0</v>
      </c>
      <c r="K81" s="11">
        <v>79</v>
      </c>
      <c r="L81" s="11">
        <v>79</v>
      </c>
      <c r="M81" s="11">
        <v>65</v>
      </c>
      <c r="N81" s="11">
        <v>200.60914012510301</v>
      </c>
      <c r="O81" s="13"/>
      <c r="P81" s="11">
        <v>200.59915804211099</v>
      </c>
      <c r="Q81" s="11">
        <v>200.60914012510301</v>
      </c>
      <c r="R81" s="11">
        <v>201.58827950013799</v>
      </c>
      <c r="S81" s="11">
        <v>201.58827950013799</v>
      </c>
      <c r="T81" s="11">
        <v>201.60650395904699</v>
      </c>
      <c r="U81" s="11">
        <v>202.792031249963</v>
      </c>
      <c r="V81" s="12" t="s">
        <v>38</v>
      </c>
      <c r="W81" s="11">
        <v>1.19574133306742</v>
      </c>
      <c r="X81" s="12" t="s">
        <v>33</v>
      </c>
      <c r="Y81" s="11">
        <v>2</v>
      </c>
      <c r="Z81" s="11">
        <v>1</v>
      </c>
      <c r="AA81" s="12" t="s">
        <v>34</v>
      </c>
      <c r="AB81" s="12" t="s">
        <v>35</v>
      </c>
      <c r="AC81" s="13"/>
      <c r="AD81" s="12" t="s">
        <v>36</v>
      </c>
      <c r="AE81" s="12" t="s">
        <v>33</v>
      </c>
      <c r="AF81" s="12" t="s">
        <v>37</v>
      </c>
      <c r="AG81" s="13"/>
    </row>
    <row r="82" spans="1:33" ht="20" customHeight="1" x14ac:dyDescent="0.15">
      <c r="A82" s="9">
        <v>44</v>
      </c>
      <c r="B82" s="10">
        <v>74</v>
      </c>
      <c r="C82" s="11">
        <v>52</v>
      </c>
      <c r="D82" s="11">
        <v>80</v>
      </c>
      <c r="E82" s="11">
        <v>80</v>
      </c>
      <c r="F82" s="11">
        <v>0</v>
      </c>
      <c r="G82" s="12" t="s">
        <v>32</v>
      </c>
      <c r="H82" s="11">
        <v>0.95681254100054502</v>
      </c>
      <c r="I82" s="12" t="s">
        <v>33</v>
      </c>
      <c r="J82" s="11">
        <v>0</v>
      </c>
      <c r="K82" s="11">
        <v>80</v>
      </c>
      <c r="L82" s="11">
        <v>80</v>
      </c>
      <c r="M82" s="11">
        <v>54</v>
      </c>
      <c r="N82" s="11">
        <v>202.80946379201501</v>
      </c>
      <c r="O82" s="13"/>
      <c r="P82" s="11">
        <v>202.79955687513601</v>
      </c>
      <c r="Q82" s="11">
        <v>202.80946379201501</v>
      </c>
      <c r="R82" s="11">
        <v>203.788250959013</v>
      </c>
      <c r="S82" s="11">
        <v>203.788250959013</v>
      </c>
      <c r="T82" s="11">
        <v>203.80645425012301</v>
      </c>
      <c r="U82" s="11">
        <v>204.748162125004</v>
      </c>
      <c r="V82" s="12" t="s">
        <v>32</v>
      </c>
      <c r="W82" s="11">
        <v>0.95681254100054502</v>
      </c>
      <c r="X82" s="12" t="s">
        <v>33</v>
      </c>
      <c r="Y82" s="11">
        <v>2</v>
      </c>
      <c r="Z82" s="11">
        <v>1</v>
      </c>
      <c r="AA82" s="12" t="s">
        <v>34</v>
      </c>
      <c r="AB82" s="12" t="s">
        <v>35</v>
      </c>
      <c r="AC82" s="13"/>
      <c r="AD82" s="12" t="s">
        <v>36</v>
      </c>
      <c r="AE82" s="12" t="s">
        <v>33</v>
      </c>
      <c r="AF82" s="12" t="s">
        <v>37</v>
      </c>
      <c r="AG82" s="13"/>
    </row>
    <row r="83" spans="1:33" ht="20" customHeight="1" x14ac:dyDescent="0.15">
      <c r="A83" s="9">
        <v>69</v>
      </c>
      <c r="B83" s="10">
        <v>88</v>
      </c>
      <c r="C83" s="11">
        <v>116</v>
      </c>
      <c r="D83" s="11">
        <v>81</v>
      </c>
      <c r="E83" s="11">
        <v>81</v>
      </c>
      <c r="F83" s="11">
        <v>0</v>
      </c>
      <c r="G83" s="12" t="s">
        <v>32</v>
      </c>
      <c r="H83" s="11">
        <v>1.03321583289653</v>
      </c>
      <c r="I83" s="12" t="s">
        <v>33</v>
      </c>
      <c r="J83" s="11">
        <v>0</v>
      </c>
      <c r="K83" s="11">
        <v>81</v>
      </c>
      <c r="L83" s="11">
        <v>81</v>
      </c>
      <c r="M83" s="11">
        <v>76</v>
      </c>
      <c r="N83" s="11">
        <v>204.763340542093</v>
      </c>
      <c r="O83" s="13"/>
      <c r="P83" s="11">
        <v>204.75421008397799</v>
      </c>
      <c r="Q83" s="11">
        <v>204.763340542093</v>
      </c>
      <c r="R83" s="11">
        <v>205.74680270906501</v>
      </c>
      <c r="S83" s="11">
        <v>205.74680270906501</v>
      </c>
      <c r="T83" s="11">
        <v>205.75634816708001</v>
      </c>
      <c r="U83" s="11">
        <v>206.78169208415801</v>
      </c>
      <c r="V83" s="12" t="s">
        <v>32</v>
      </c>
      <c r="W83" s="11">
        <v>1.03321583289653</v>
      </c>
      <c r="X83" s="12" t="s">
        <v>33</v>
      </c>
      <c r="Y83" s="11">
        <v>2</v>
      </c>
      <c r="Z83" s="11">
        <v>1</v>
      </c>
      <c r="AA83" s="12" t="s">
        <v>34</v>
      </c>
      <c r="AB83" s="12" t="s">
        <v>35</v>
      </c>
      <c r="AC83" s="13"/>
      <c r="AD83" s="12" t="s">
        <v>36</v>
      </c>
      <c r="AE83" s="12" t="s">
        <v>33</v>
      </c>
      <c r="AF83" s="12" t="s">
        <v>37</v>
      </c>
      <c r="AG83" s="13"/>
    </row>
    <row r="84" spans="1:33" ht="20" customHeight="1" x14ac:dyDescent="0.15">
      <c r="A84" s="9">
        <v>71</v>
      </c>
      <c r="B84" s="10">
        <v>81</v>
      </c>
      <c r="C84" s="11">
        <v>165</v>
      </c>
      <c r="D84" s="11">
        <v>82</v>
      </c>
      <c r="E84" s="11">
        <v>82</v>
      </c>
      <c r="F84" s="11">
        <v>0</v>
      </c>
      <c r="G84" s="12" t="s">
        <v>32</v>
      </c>
      <c r="H84" s="11">
        <v>1.4441110419575101</v>
      </c>
      <c r="I84" s="12" t="s">
        <v>33</v>
      </c>
      <c r="J84" s="11">
        <v>0</v>
      </c>
      <c r="K84" s="11">
        <v>82</v>
      </c>
      <c r="L84" s="11">
        <v>82</v>
      </c>
      <c r="M84" s="11">
        <v>67</v>
      </c>
      <c r="N84" s="11">
        <v>206.79913991712999</v>
      </c>
      <c r="O84" s="13"/>
      <c r="P84" s="11">
        <v>206.789872375084</v>
      </c>
      <c r="Q84" s="11">
        <v>206.79913991712999</v>
      </c>
      <c r="R84" s="11">
        <v>207.78091625007801</v>
      </c>
      <c r="S84" s="11">
        <v>207.78091625007801</v>
      </c>
      <c r="T84" s="11">
        <v>207.793506292161</v>
      </c>
      <c r="U84" s="11">
        <v>209.230918874964</v>
      </c>
      <c r="V84" s="12" t="s">
        <v>32</v>
      </c>
      <c r="W84" s="11">
        <v>1.4441110419575101</v>
      </c>
      <c r="X84" s="12" t="s">
        <v>33</v>
      </c>
      <c r="Y84" s="11">
        <v>2</v>
      </c>
      <c r="Z84" s="11">
        <v>1</v>
      </c>
      <c r="AA84" s="12" t="s">
        <v>34</v>
      </c>
      <c r="AB84" s="12" t="s">
        <v>35</v>
      </c>
      <c r="AC84" s="13"/>
      <c r="AD84" s="12" t="s">
        <v>36</v>
      </c>
      <c r="AE84" s="12" t="s">
        <v>33</v>
      </c>
      <c r="AF84" s="12" t="s">
        <v>37</v>
      </c>
      <c r="AG84" s="13"/>
    </row>
    <row r="85" spans="1:33" ht="20" customHeight="1" x14ac:dyDescent="0.15">
      <c r="A85" s="9">
        <v>50</v>
      </c>
      <c r="B85" s="10">
        <v>71</v>
      </c>
      <c r="C85" s="11">
        <v>152</v>
      </c>
      <c r="D85" s="11">
        <v>83</v>
      </c>
      <c r="E85" s="11">
        <v>83</v>
      </c>
      <c r="F85" s="11">
        <v>0</v>
      </c>
      <c r="G85" s="12" t="s">
        <v>32</v>
      </c>
      <c r="H85" s="11">
        <v>1.1976213329471601</v>
      </c>
      <c r="I85" s="12" t="s">
        <v>33</v>
      </c>
      <c r="J85" s="11">
        <v>0</v>
      </c>
      <c r="K85" s="11">
        <v>83</v>
      </c>
      <c r="L85" s="11">
        <v>83</v>
      </c>
      <c r="M85" s="11">
        <v>93</v>
      </c>
      <c r="N85" s="11">
        <v>209.246031458955</v>
      </c>
      <c r="O85" s="13"/>
      <c r="P85" s="11">
        <v>209.237004625145</v>
      </c>
      <c r="Q85" s="11">
        <v>209.246031458955</v>
      </c>
      <c r="R85" s="11">
        <v>210.23127170908299</v>
      </c>
      <c r="S85" s="11">
        <v>210.23127170908299</v>
      </c>
      <c r="T85" s="11">
        <v>210.23818912496799</v>
      </c>
      <c r="U85" s="11">
        <v>211.43092458415799</v>
      </c>
      <c r="V85" s="12" t="s">
        <v>32</v>
      </c>
      <c r="W85" s="11">
        <v>1.1976213329471601</v>
      </c>
      <c r="X85" s="12" t="s">
        <v>33</v>
      </c>
      <c r="Y85" s="11">
        <v>2</v>
      </c>
      <c r="Z85" s="11">
        <v>1</v>
      </c>
      <c r="AA85" s="12" t="s">
        <v>34</v>
      </c>
      <c r="AB85" s="12" t="s">
        <v>35</v>
      </c>
      <c r="AC85" s="13"/>
      <c r="AD85" s="12" t="s">
        <v>36</v>
      </c>
      <c r="AE85" s="12" t="s">
        <v>33</v>
      </c>
      <c r="AF85" s="12" t="s">
        <v>37</v>
      </c>
      <c r="AG85" s="13"/>
    </row>
    <row r="86" spans="1:33" ht="20" customHeight="1" x14ac:dyDescent="0.15">
      <c r="A86" s="9">
        <v>11</v>
      </c>
      <c r="B86" s="10">
        <v>16</v>
      </c>
      <c r="C86" s="11">
        <v>13</v>
      </c>
      <c r="D86" s="11">
        <v>84</v>
      </c>
      <c r="E86" s="11">
        <v>84</v>
      </c>
      <c r="F86" s="11">
        <v>0</v>
      </c>
      <c r="G86" s="12" t="s">
        <v>38</v>
      </c>
      <c r="H86" s="11">
        <v>1.27685362496413</v>
      </c>
      <c r="I86" s="12" t="s">
        <v>33</v>
      </c>
      <c r="J86" s="11">
        <v>0</v>
      </c>
      <c r="K86" s="11">
        <v>84</v>
      </c>
      <c r="L86" s="11">
        <v>84</v>
      </c>
      <c r="M86" s="11">
        <v>58</v>
      </c>
      <c r="N86" s="11">
        <v>211.44655750016699</v>
      </c>
      <c r="O86" s="13"/>
      <c r="P86" s="11">
        <v>211.43741304217801</v>
      </c>
      <c r="Q86" s="11">
        <v>211.44655750016699</v>
      </c>
      <c r="R86" s="11">
        <v>212.43106624996301</v>
      </c>
      <c r="S86" s="11">
        <v>212.43106624996301</v>
      </c>
      <c r="T86" s="11">
        <v>212.43814950017301</v>
      </c>
      <c r="U86" s="11">
        <v>213.71485754195601</v>
      </c>
      <c r="V86" s="12" t="s">
        <v>38</v>
      </c>
      <c r="W86" s="11">
        <v>1.27685362496413</v>
      </c>
      <c r="X86" s="12" t="s">
        <v>33</v>
      </c>
      <c r="Y86" s="11">
        <v>2</v>
      </c>
      <c r="Z86" s="11">
        <v>1</v>
      </c>
      <c r="AA86" s="12" t="s">
        <v>34</v>
      </c>
      <c r="AB86" s="12" t="s">
        <v>35</v>
      </c>
      <c r="AC86" s="13"/>
      <c r="AD86" s="12" t="s">
        <v>36</v>
      </c>
      <c r="AE86" s="12" t="s">
        <v>33</v>
      </c>
      <c r="AF86" s="12" t="s">
        <v>37</v>
      </c>
      <c r="AG86" s="13"/>
    </row>
    <row r="87" spans="1:33" ht="20" customHeight="1" x14ac:dyDescent="0.15">
      <c r="A87" s="9">
        <v>27</v>
      </c>
      <c r="B87" s="10">
        <v>40</v>
      </c>
      <c r="C87" s="11">
        <v>156</v>
      </c>
      <c r="D87" s="11">
        <v>85</v>
      </c>
      <c r="E87" s="11">
        <v>85</v>
      </c>
      <c r="F87" s="11">
        <v>0</v>
      </c>
      <c r="G87" s="12" t="s">
        <v>32</v>
      </c>
      <c r="H87" s="11">
        <v>1.30153945786878</v>
      </c>
      <c r="I87" s="12" t="s">
        <v>33</v>
      </c>
      <c r="J87" s="11">
        <v>0</v>
      </c>
      <c r="K87" s="11">
        <v>85</v>
      </c>
      <c r="L87" s="11">
        <v>85</v>
      </c>
      <c r="M87" s="11">
        <v>64</v>
      </c>
      <c r="N87" s="11">
        <v>213.73005558410699</v>
      </c>
      <c r="O87" s="13"/>
      <c r="P87" s="11">
        <v>213.72096287505701</v>
      </c>
      <c r="Q87" s="11">
        <v>213.73005558410699</v>
      </c>
      <c r="R87" s="11">
        <v>214.71429620916001</v>
      </c>
      <c r="S87" s="11">
        <v>214.71429620916001</v>
      </c>
      <c r="T87" s="11">
        <v>214.722310875077</v>
      </c>
      <c r="U87" s="11">
        <v>216.02446533413601</v>
      </c>
      <c r="V87" s="12" t="s">
        <v>32</v>
      </c>
      <c r="W87" s="11">
        <v>1.30153945786878</v>
      </c>
      <c r="X87" s="12" t="s">
        <v>33</v>
      </c>
      <c r="Y87" s="11">
        <v>2</v>
      </c>
      <c r="Z87" s="11">
        <v>1</v>
      </c>
      <c r="AA87" s="12" t="s">
        <v>34</v>
      </c>
      <c r="AB87" s="12" t="s">
        <v>35</v>
      </c>
      <c r="AC87" s="13"/>
      <c r="AD87" s="12" t="s">
        <v>36</v>
      </c>
      <c r="AE87" s="12" t="s">
        <v>33</v>
      </c>
      <c r="AF87" s="12" t="s">
        <v>37</v>
      </c>
      <c r="AG87" s="13"/>
    </row>
    <row r="88" spans="1:33" ht="20" customHeight="1" x14ac:dyDescent="0.15">
      <c r="A88" s="9">
        <v>42</v>
      </c>
      <c r="B88" s="10">
        <v>55</v>
      </c>
      <c r="C88" s="11">
        <v>128</v>
      </c>
      <c r="D88" s="11">
        <v>86</v>
      </c>
      <c r="E88" s="11">
        <v>86</v>
      </c>
      <c r="F88" s="11">
        <v>0</v>
      </c>
      <c r="G88" s="12" t="s">
        <v>38</v>
      </c>
      <c r="H88" s="11">
        <v>1.0847721667960299</v>
      </c>
      <c r="I88" s="12" t="s">
        <v>33</v>
      </c>
      <c r="J88" s="11">
        <v>0</v>
      </c>
      <c r="K88" s="11">
        <v>86</v>
      </c>
      <c r="L88" s="11">
        <v>86</v>
      </c>
      <c r="M88" s="11">
        <v>22</v>
      </c>
      <c r="N88" s="11">
        <v>216.04023329215099</v>
      </c>
      <c r="O88" s="13"/>
      <c r="P88" s="11">
        <v>216.03093754197499</v>
      </c>
      <c r="Q88" s="11">
        <v>216.04023329215099</v>
      </c>
      <c r="R88" s="11">
        <v>217.02299470896801</v>
      </c>
      <c r="S88" s="11">
        <v>217.02299470896801</v>
      </c>
      <c r="T88" s="11">
        <v>217.02952408418099</v>
      </c>
      <c r="U88" s="11">
        <v>218.114822166972</v>
      </c>
      <c r="V88" s="12" t="s">
        <v>38</v>
      </c>
      <c r="W88" s="11">
        <v>1.0847721667960299</v>
      </c>
      <c r="X88" s="12" t="s">
        <v>33</v>
      </c>
      <c r="Y88" s="11">
        <v>2</v>
      </c>
      <c r="Z88" s="11">
        <v>1</v>
      </c>
      <c r="AA88" s="12" t="s">
        <v>34</v>
      </c>
      <c r="AB88" s="12" t="s">
        <v>35</v>
      </c>
      <c r="AC88" s="13"/>
      <c r="AD88" s="12" t="s">
        <v>36</v>
      </c>
      <c r="AE88" s="12" t="s">
        <v>33</v>
      </c>
      <c r="AF88" s="12" t="s">
        <v>37</v>
      </c>
      <c r="AG88" s="13"/>
    </row>
    <row r="89" spans="1:33" ht="20" customHeight="1" x14ac:dyDescent="0.15">
      <c r="A89" s="9">
        <v>69</v>
      </c>
      <c r="B89" s="10">
        <v>79</v>
      </c>
      <c r="C89" s="11">
        <v>116</v>
      </c>
      <c r="D89" s="11">
        <v>87</v>
      </c>
      <c r="E89" s="11">
        <v>87</v>
      </c>
      <c r="F89" s="11">
        <v>0</v>
      </c>
      <c r="G89" s="12" t="s">
        <v>38</v>
      </c>
      <c r="H89" s="11">
        <v>0.97717575007118296</v>
      </c>
      <c r="I89" s="12" t="s">
        <v>33</v>
      </c>
      <c r="J89" s="11">
        <v>0</v>
      </c>
      <c r="K89" s="11">
        <v>87</v>
      </c>
      <c r="L89" s="11">
        <v>87</v>
      </c>
      <c r="M89" s="11">
        <v>49</v>
      </c>
      <c r="N89" s="11">
        <v>218.132374709006</v>
      </c>
      <c r="O89" s="13"/>
      <c r="P89" s="11">
        <v>218.12352920905701</v>
      </c>
      <c r="Q89" s="11">
        <v>218.132374709006</v>
      </c>
      <c r="R89" s="11">
        <v>219.11453050002501</v>
      </c>
      <c r="S89" s="11">
        <v>219.11453050002501</v>
      </c>
      <c r="T89" s="11">
        <v>219.12707341695199</v>
      </c>
      <c r="U89" s="11">
        <v>220.09877458400999</v>
      </c>
      <c r="V89" s="12" t="s">
        <v>38</v>
      </c>
      <c r="W89" s="11">
        <v>0.97717575007118296</v>
      </c>
      <c r="X89" s="12" t="s">
        <v>33</v>
      </c>
      <c r="Y89" s="11">
        <v>2</v>
      </c>
      <c r="Z89" s="11">
        <v>1</v>
      </c>
      <c r="AA89" s="12" t="s">
        <v>34</v>
      </c>
      <c r="AB89" s="12" t="s">
        <v>35</v>
      </c>
      <c r="AC89" s="13"/>
      <c r="AD89" s="12" t="s">
        <v>36</v>
      </c>
      <c r="AE89" s="12" t="s">
        <v>33</v>
      </c>
      <c r="AF89" s="12" t="s">
        <v>37</v>
      </c>
      <c r="AG89" s="13"/>
    </row>
    <row r="90" spans="1:33" ht="20" customHeight="1" x14ac:dyDescent="0.15">
      <c r="A90" s="9">
        <v>71</v>
      </c>
      <c r="B90" s="10">
        <v>76</v>
      </c>
      <c r="C90" s="11">
        <v>117</v>
      </c>
      <c r="D90" s="11">
        <v>88</v>
      </c>
      <c r="E90" s="11">
        <v>88</v>
      </c>
      <c r="F90" s="11">
        <v>0</v>
      </c>
      <c r="G90" s="12" t="s">
        <v>38</v>
      </c>
      <c r="H90" s="11">
        <v>0.89023604104295395</v>
      </c>
      <c r="I90" s="12" t="s">
        <v>33</v>
      </c>
      <c r="J90" s="11">
        <v>0</v>
      </c>
      <c r="K90" s="11">
        <v>88</v>
      </c>
      <c r="L90" s="11">
        <v>88</v>
      </c>
      <c r="M90" s="11">
        <v>71</v>
      </c>
      <c r="N90" s="11">
        <v>220.11544500011999</v>
      </c>
      <c r="O90" s="13"/>
      <c r="P90" s="11">
        <v>220.10554150003</v>
      </c>
      <c r="Q90" s="11">
        <v>220.11544500011999</v>
      </c>
      <c r="R90" s="11">
        <v>221.09743891702999</v>
      </c>
      <c r="S90" s="11">
        <v>221.09743891702999</v>
      </c>
      <c r="T90" s="11">
        <v>221.11045687506001</v>
      </c>
      <c r="U90" s="11">
        <v>221.99138050014199</v>
      </c>
      <c r="V90" s="12" t="s">
        <v>38</v>
      </c>
      <c r="W90" s="11">
        <v>0.89023604104295395</v>
      </c>
      <c r="X90" s="12" t="s">
        <v>33</v>
      </c>
      <c r="Y90" s="11">
        <v>2</v>
      </c>
      <c r="Z90" s="11">
        <v>1</v>
      </c>
      <c r="AA90" s="12" t="s">
        <v>34</v>
      </c>
      <c r="AB90" s="12" t="s">
        <v>35</v>
      </c>
      <c r="AC90" s="13"/>
      <c r="AD90" s="12" t="s">
        <v>36</v>
      </c>
      <c r="AE90" s="12" t="s">
        <v>33</v>
      </c>
      <c r="AF90" s="12" t="s">
        <v>37</v>
      </c>
      <c r="AG90" s="13"/>
    </row>
    <row r="91" spans="1:33" ht="20" customHeight="1" x14ac:dyDescent="0.15">
      <c r="A91" s="9">
        <v>69</v>
      </c>
      <c r="B91" s="10">
        <v>75</v>
      </c>
      <c r="C91" s="11">
        <v>46</v>
      </c>
      <c r="D91" s="11">
        <v>89</v>
      </c>
      <c r="E91" s="11">
        <v>89</v>
      </c>
      <c r="F91" s="11">
        <v>0</v>
      </c>
      <c r="G91" s="12" t="s">
        <v>38</v>
      </c>
      <c r="H91" s="11">
        <v>0.91443075006827701</v>
      </c>
      <c r="I91" s="12" t="s">
        <v>33</v>
      </c>
      <c r="J91" s="11">
        <v>0</v>
      </c>
      <c r="K91" s="11">
        <v>89</v>
      </c>
      <c r="L91" s="11">
        <v>89</v>
      </c>
      <c r="M91" s="11">
        <v>44</v>
      </c>
      <c r="N91" s="11">
        <v>222.00899979216001</v>
      </c>
      <c r="O91" s="13"/>
      <c r="P91" s="11">
        <v>221.99857575004</v>
      </c>
      <c r="Q91" s="11">
        <v>222.00899979216001</v>
      </c>
      <c r="R91" s="11">
        <v>222.98820354207399</v>
      </c>
      <c r="S91" s="11">
        <v>222.98820354207399</v>
      </c>
      <c r="T91" s="11">
        <v>223.00641704211</v>
      </c>
      <c r="U91" s="11">
        <v>223.908389250049</v>
      </c>
      <c r="V91" s="12" t="s">
        <v>38</v>
      </c>
      <c r="W91" s="11">
        <v>0.91443075006827701</v>
      </c>
      <c r="X91" s="12" t="s">
        <v>33</v>
      </c>
      <c r="Y91" s="11">
        <v>2</v>
      </c>
      <c r="Z91" s="11">
        <v>1</v>
      </c>
      <c r="AA91" s="12" t="s">
        <v>34</v>
      </c>
      <c r="AB91" s="12" t="s">
        <v>35</v>
      </c>
      <c r="AC91" s="13"/>
      <c r="AD91" s="12" t="s">
        <v>36</v>
      </c>
      <c r="AE91" s="12" t="s">
        <v>33</v>
      </c>
      <c r="AF91" s="12" t="s">
        <v>37</v>
      </c>
      <c r="AG91" s="13"/>
    </row>
    <row r="92" spans="1:33" ht="20" customHeight="1" x14ac:dyDescent="0.15">
      <c r="A92" s="9">
        <v>67</v>
      </c>
      <c r="B92" s="10">
        <v>75</v>
      </c>
      <c r="C92" s="11">
        <v>119</v>
      </c>
      <c r="D92" s="11">
        <v>90</v>
      </c>
      <c r="E92" s="11">
        <v>90</v>
      </c>
      <c r="F92" s="11">
        <v>0</v>
      </c>
      <c r="G92" s="12" t="s">
        <v>38</v>
      </c>
      <c r="H92" s="11">
        <v>1.03007533308119</v>
      </c>
      <c r="I92" s="12" t="s">
        <v>33</v>
      </c>
      <c r="J92" s="11">
        <v>0</v>
      </c>
      <c r="K92" s="11">
        <v>90</v>
      </c>
      <c r="L92" s="11">
        <v>90</v>
      </c>
      <c r="M92" s="11">
        <v>5</v>
      </c>
      <c r="N92" s="11">
        <v>223.92567145917599</v>
      </c>
      <c r="O92" s="13"/>
      <c r="P92" s="11">
        <v>223.91549825016401</v>
      </c>
      <c r="Q92" s="11">
        <v>223.92567145917599</v>
      </c>
      <c r="R92" s="11">
        <v>224.90556466695901</v>
      </c>
      <c r="S92" s="11">
        <v>224.90556466695901</v>
      </c>
      <c r="T92" s="11">
        <v>224.923062625108</v>
      </c>
      <c r="U92" s="11">
        <v>225.941905042157</v>
      </c>
      <c r="V92" s="12" t="s">
        <v>38</v>
      </c>
      <c r="W92" s="11">
        <v>1.03007533308119</v>
      </c>
      <c r="X92" s="12" t="s">
        <v>33</v>
      </c>
      <c r="Y92" s="11">
        <v>2</v>
      </c>
      <c r="Z92" s="11">
        <v>1</v>
      </c>
      <c r="AA92" s="12" t="s">
        <v>34</v>
      </c>
      <c r="AB92" s="12" t="s">
        <v>35</v>
      </c>
      <c r="AC92" s="13"/>
      <c r="AD92" s="12" t="s">
        <v>36</v>
      </c>
      <c r="AE92" s="12" t="s">
        <v>33</v>
      </c>
      <c r="AF92" s="12" t="s">
        <v>37</v>
      </c>
      <c r="AG92" s="13"/>
    </row>
    <row r="93" spans="1:33" ht="20" customHeight="1" x14ac:dyDescent="0.15">
      <c r="A93" s="9">
        <v>72</v>
      </c>
      <c r="B93" s="10">
        <v>83</v>
      </c>
      <c r="C93" s="11">
        <v>173</v>
      </c>
      <c r="D93" s="11">
        <v>91</v>
      </c>
      <c r="E93" s="11">
        <v>91</v>
      </c>
      <c r="F93" s="11">
        <v>0</v>
      </c>
      <c r="G93" s="12" t="s">
        <v>38</v>
      </c>
      <c r="H93" s="11">
        <v>0.95564062497578595</v>
      </c>
      <c r="I93" s="12" t="s">
        <v>33</v>
      </c>
      <c r="J93" s="11">
        <v>0</v>
      </c>
      <c r="K93" s="11">
        <v>91</v>
      </c>
      <c r="L93" s="11">
        <v>91</v>
      </c>
      <c r="M93" s="11">
        <v>86</v>
      </c>
      <c r="N93" s="11">
        <v>225.959409084171</v>
      </c>
      <c r="O93" s="13"/>
      <c r="P93" s="11">
        <v>225.949040750042</v>
      </c>
      <c r="Q93" s="11">
        <v>225.959409084171</v>
      </c>
      <c r="R93" s="11">
        <v>226.93886091699801</v>
      </c>
      <c r="S93" s="11">
        <v>226.93886091699801</v>
      </c>
      <c r="T93" s="11">
        <v>226.956348875072</v>
      </c>
      <c r="U93" s="11">
        <v>227.89714333415</v>
      </c>
      <c r="V93" s="12" t="s">
        <v>38</v>
      </c>
      <c r="W93" s="11">
        <v>0.95564062497578595</v>
      </c>
      <c r="X93" s="12" t="s">
        <v>33</v>
      </c>
      <c r="Y93" s="11">
        <v>2</v>
      </c>
      <c r="Z93" s="11">
        <v>1</v>
      </c>
      <c r="AA93" s="12" t="s">
        <v>34</v>
      </c>
      <c r="AB93" s="12" t="s">
        <v>35</v>
      </c>
      <c r="AC93" s="13"/>
      <c r="AD93" s="12" t="s">
        <v>36</v>
      </c>
      <c r="AE93" s="12" t="s">
        <v>33</v>
      </c>
      <c r="AF93" s="12" t="s">
        <v>37</v>
      </c>
      <c r="AG93" s="13"/>
    </row>
    <row r="94" spans="1:33" ht="20" customHeight="1" x14ac:dyDescent="0.15">
      <c r="A94" s="9">
        <v>33</v>
      </c>
      <c r="B94" s="10">
        <v>49</v>
      </c>
      <c r="C94" s="11">
        <v>108</v>
      </c>
      <c r="D94" s="11">
        <v>92</v>
      </c>
      <c r="E94" s="11">
        <v>92</v>
      </c>
      <c r="F94" s="11">
        <v>0</v>
      </c>
      <c r="G94" s="12" t="s">
        <v>38</v>
      </c>
      <c r="H94" s="11">
        <v>2.0039359161164598</v>
      </c>
      <c r="I94" s="12" t="s">
        <v>33</v>
      </c>
      <c r="J94" s="11">
        <v>0</v>
      </c>
      <c r="K94" s="11">
        <v>92</v>
      </c>
      <c r="L94" s="11">
        <v>92</v>
      </c>
      <c r="M94" s="11">
        <v>74</v>
      </c>
      <c r="N94" s="11">
        <v>227.91312675015101</v>
      </c>
      <c r="O94" s="13"/>
      <c r="P94" s="11">
        <v>227.90427145897399</v>
      </c>
      <c r="Q94" s="11">
        <v>227.91312675015101</v>
      </c>
      <c r="R94" s="11">
        <v>228.88861437514399</v>
      </c>
      <c r="S94" s="11">
        <v>228.88861437514399</v>
      </c>
      <c r="T94" s="11">
        <v>228.91283604200001</v>
      </c>
      <c r="U94" s="11">
        <v>230.89783016708699</v>
      </c>
      <c r="V94" s="12" t="s">
        <v>38</v>
      </c>
      <c r="W94" s="11">
        <v>2.0039359161164598</v>
      </c>
      <c r="X94" s="12" t="s">
        <v>33</v>
      </c>
      <c r="Y94" s="11">
        <v>2</v>
      </c>
      <c r="Z94" s="11">
        <v>1</v>
      </c>
      <c r="AA94" s="12" t="s">
        <v>34</v>
      </c>
      <c r="AB94" s="12" t="s">
        <v>35</v>
      </c>
      <c r="AC94" s="13"/>
      <c r="AD94" s="12" t="s">
        <v>36</v>
      </c>
      <c r="AE94" s="12" t="s">
        <v>33</v>
      </c>
      <c r="AF94" s="12" t="s">
        <v>37</v>
      </c>
      <c r="AG94" s="13"/>
    </row>
    <row r="95" spans="1:33" ht="20" customHeight="1" x14ac:dyDescent="0.15">
      <c r="A95" s="9">
        <v>44</v>
      </c>
      <c r="B95" s="10">
        <v>53</v>
      </c>
      <c r="C95" s="11">
        <v>146</v>
      </c>
      <c r="D95" s="11">
        <v>93</v>
      </c>
      <c r="E95" s="11">
        <v>93</v>
      </c>
      <c r="F95" s="11">
        <v>0</v>
      </c>
      <c r="G95" s="12" t="s">
        <v>38</v>
      </c>
      <c r="H95" s="11">
        <v>0.75994225009344496</v>
      </c>
      <c r="I95" s="12" t="s">
        <v>33</v>
      </c>
      <c r="J95" s="11">
        <v>0</v>
      </c>
      <c r="K95" s="11">
        <v>93</v>
      </c>
      <c r="L95" s="11">
        <v>93</v>
      </c>
      <c r="M95" s="11">
        <v>90</v>
      </c>
      <c r="N95" s="11">
        <v>230.91314354213</v>
      </c>
      <c r="O95" s="13"/>
      <c r="P95" s="11">
        <v>230.90397341712401</v>
      </c>
      <c r="Q95" s="11">
        <v>230.91314354213</v>
      </c>
      <c r="R95" s="11">
        <v>231.89748875005199</v>
      </c>
      <c r="S95" s="11">
        <v>231.89748875005199</v>
      </c>
      <c r="T95" s="11">
        <v>231.90534195909299</v>
      </c>
      <c r="U95" s="11">
        <v>232.66413220902899</v>
      </c>
      <c r="V95" s="12" t="s">
        <v>38</v>
      </c>
      <c r="W95" s="11">
        <v>0.75994225009344496</v>
      </c>
      <c r="X95" s="12" t="s">
        <v>33</v>
      </c>
      <c r="Y95" s="11">
        <v>2</v>
      </c>
      <c r="Z95" s="11">
        <v>1</v>
      </c>
      <c r="AA95" s="12" t="s">
        <v>34</v>
      </c>
      <c r="AB95" s="12" t="s">
        <v>35</v>
      </c>
      <c r="AC95" s="13"/>
      <c r="AD95" s="12" t="s">
        <v>36</v>
      </c>
      <c r="AE95" s="12" t="s">
        <v>33</v>
      </c>
      <c r="AF95" s="12" t="s">
        <v>37</v>
      </c>
      <c r="AG95" s="13"/>
    </row>
    <row r="96" spans="1:33" ht="20" customHeight="1" x14ac:dyDescent="0.15">
      <c r="A96" s="9">
        <v>24</v>
      </c>
      <c r="B96" s="10">
        <v>37</v>
      </c>
      <c r="C96" s="11">
        <v>97</v>
      </c>
      <c r="D96" s="11">
        <v>94</v>
      </c>
      <c r="E96" s="11">
        <v>94</v>
      </c>
      <c r="F96" s="11">
        <v>0</v>
      </c>
      <c r="G96" s="12" t="s">
        <v>38</v>
      </c>
      <c r="H96" s="11">
        <v>1.17340008309111</v>
      </c>
      <c r="I96" s="12" t="s">
        <v>33</v>
      </c>
      <c r="J96" s="11">
        <v>0</v>
      </c>
      <c r="K96" s="11">
        <v>94</v>
      </c>
      <c r="L96" s="11">
        <v>94</v>
      </c>
      <c r="M96" s="11">
        <v>79</v>
      </c>
      <c r="N96" s="11">
        <v>232.679918042151</v>
      </c>
      <c r="O96" s="13"/>
      <c r="P96" s="11">
        <v>232.670530042145</v>
      </c>
      <c r="Q96" s="11">
        <v>232.679918042151</v>
      </c>
      <c r="R96" s="11">
        <v>233.66398920910399</v>
      </c>
      <c r="S96" s="11">
        <v>233.66398920910399</v>
      </c>
      <c r="T96" s="11">
        <v>233.67239762516701</v>
      </c>
      <c r="U96" s="11">
        <v>234.84127770899801</v>
      </c>
      <c r="V96" s="12" t="s">
        <v>38</v>
      </c>
      <c r="W96" s="11">
        <v>1.17340008309111</v>
      </c>
      <c r="X96" s="12" t="s">
        <v>33</v>
      </c>
      <c r="Y96" s="11">
        <v>2</v>
      </c>
      <c r="Z96" s="11">
        <v>1</v>
      </c>
      <c r="AA96" s="12" t="s">
        <v>34</v>
      </c>
      <c r="AB96" s="12" t="s">
        <v>35</v>
      </c>
      <c r="AC96" s="13"/>
      <c r="AD96" s="12" t="s">
        <v>36</v>
      </c>
      <c r="AE96" s="12" t="s">
        <v>33</v>
      </c>
      <c r="AF96" s="12" t="s">
        <v>37</v>
      </c>
      <c r="AG96" s="13"/>
    </row>
    <row r="97" spans="1:33" ht="20" customHeight="1" x14ac:dyDescent="0.15">
      <c r="A97" s="9">
        <v>72</v>
      </c>
      <c r="B97" s="10">
        <v>89</v>
      </c>
      <c r="C97" s="11">
        <v>152</v>
      </c>
      <c r="D97" s="11">
        <v>95</v>
      </c>
      <c r="E97" s="11">
        <v>95</v>
      </c>
      <c r="F97" s="11">
        <v>0</v>
      </c>
      <c r="G97" s="12" t="s">
        <v>38</v>
      </c>
      <c r="H97" s="11">
        <v>2.9503904168959698</v>
      </c>
      <c r="I97" s="12" t="s">
        <v>33</v>
      </c>
      <c r="J97" s="11">
        <v>0</v>
      </c>
      <c r="K97" s="11">
        <v>95</v>
      </c>
      <c r="L97" s="11">
        <v>95</v>
      </c>
      <c r="M97" s="11">
        <v>63</v>
      </c>
      <c r="N97" s="11">
        <v>234.85928120906499</v>
      </c>
      <c r="O97" s="13"/>
      <c r="P97" s="11">
        <v>234.848244459135</v>
      </c>
      <c r="Q97" s="11">
        <v>234.85928120906499</v>
      </c>
      <c r="R97" s="11">
        <v>235.83878475008501</v>
      </c>
      <c r="S97" s="11">
        <v>235.83878475008501</v>
      </c>
      <c r="T97" s="11">
        <v>235.856355583994</v>
      </c>
      <c r="U97" s="11">
        <v>238.791894250084</v>
      </c>
      <c r="V97" s="12" t="s">
        <v>38</v>
      </c>
      <c r="W97" s="11">
        <v>2.9503904168959698</v>
      </c>
      <c r="X97" s="12" t="s">
        <v>33</v>
      </c>
      <c r="Y97" s="11">
        <v>2</v>
      </c>
      <c r="Z97" s="11">
        <v>1</v>
      </c>
      <c r="AA97" s="12" t="s">
        <v>34</v>
      </c>
      <c r="AB97" s="12" t="s">
        <v>35</v>
      </c>
      <c r="AC97" s="13"/>
      <c r="AD97" s="12" t="s">
        <v>36</v>
      </c>
      <c r="AE97" s="12" t="s">
        <v>33</v>
      </c>
      <c r="AF97" s="12" t="s">
        <v>37</v>
      </c>
      <c r="AG97" s="13"/>
    </row>
    <row r="98" spans="1:33" ht="20" customHeight="1" x14ac:dyDescent="0.15">
      <c r="A98" s="9">
        <v>18</v>
      </c>
      <c r="B98" s="10">
        <v>35</v>
      </c>
      <c r="C98" s="11">
        <v>11</v>
      </c>
      <c r="D98" s="11">
        <v>96</v>
      </c>
      <c r="E98" s="11">
        <v>96</v>
      </c>
      <c r="F98" s="11">
        <v>0</v>
      </c>
      <c r="G98" s="12" t="s">
        <v>32</v>
      </c>
      <c r="H98" s="11">
        <v>0.92847024905495401</v>
      </c>
      <c r="I98" s="12" t="s">
        <v>33</v>
      </c>
      <c r="J98" s="11">
        <v>0</v>
      </c>
      <c r="K98" s="11">
        <v>96</v>
      </c>
      <c r="L98" s="11">
        <v>96</v>
      </c>
      <c r="M98" s="11">
        <v>46</v>
      </c>
      <c r="N98" s="11">
        <v>238.80932383402299</v>
      </c>
      <c r="O98" s="13"/>
      <c r="P98" s="11">
        <v>238.799310875125</v>
      </c>
      <c r="Q98" s="11">
        <v>238.80932383402299</v>
      </c>
      <c r="R98" s="11">
        <v>239.788729249965</v>
      </c>
      <c r="S98" s="11">
        <v>239.788729249965</v>
      </c>
      <c r="T98" s="11">
        <v>239.80631545907801</v>
      </c>
      <c r="U98" s="11">
        <v>240.72409904212699</v>
      </c>
      <c r="V98" s="12" t="s">
        <v>32</v>
      </c>
      <c r="W98" s="11">
        <v>0.92847024905495401</v>
      </c>
      <c r="X98" s="12" t="s">
        <v>33</v>
      </c>
      <c r="Y98" s="11">
        <v>2</v>
      </c>
      <c r="Z98" s="11">
        <v>1</v>
      </c>
      <c r="AA98" s="12" t="s">
        <v>34</v>
      </c>
      <c r="AB98" s="12" t="s">
        <v>35</v>
      </c>
      <c r="AC98" s="13"/>
      <c r="AD98" s="12" t="s">
        <v>36</v>
      </c>
      <c r="AE98" s="12" t="s">
        <v>33</v>
      </c>
      <c r="AF98" s="12" t="s">
        <v>37</v>
      </c>
      <c r="AG98" s="13"/>
    </row>
    <row r="99" spans="1:33" ht="20" customHeight="1" x14ac:dyDescent="0.15">
      <c r="A99" s="9">
        <v>17</v>
      </c>
      <c r="B99" s="10">
        <v>41</v>
      </c>
      <c r="C99" s="11">
        <v>6</v>
      </c>
      <c r="D99" s="11">
        <v>97</v>
      </c>
      <c r="E99" s="11">
        <v>97</v>
      </c>
      <c r="F99" s="11">
        <v>0</v>
      </c>
      <c r="G99" s="12" t="s">
        <v>32</v>
      </c>
      <c r="H99" s="11">
        <v>2.4026860829908401</v>
      </c>
      <c r="I99" s="12" t="s">
        <v>33</v>
      </c>
      <c r="J99" s="11">
        <v>0</v>
      </c>
      <c r="K99" s="11">
        <v>97</v>
      </c>
      <c r="L99" s="11">
        <v>97</v>
      </c>
      <c r="M99" s="11">
        <v>52</v>
      </c>
      <c r="N99" s="11">
        <v>240.74026416707801</v>
      </c>
      <c r="O99" s="13"/>
      <c r="P99" s="11">
        <v>240.73080708412499</v>
      </c>
      <c r="Q99" s="11">
        <v>240.74026416707801</v>
      </c>
      <c r="R99" s="11">
        <v>241.721445084084</v>
      </c>
      <c r="S99" s="11">
        <v>241.721445084084</v>
      </c>
      <c r="T99" s="11">
        <v>241.739696749952</v>
      </c>
      <c r="U99" s="11">
        <v>244.13129179203</v>
      </c>
      <c r="V99" s="12" t="s">
        <v>32</v>
      </c>
      <c r="W99" s="11">
        <v>2.4026860829908401</v>
      </c>
      <c r="X99" s="12" t="s">
        <v>33</v>
      </c>
      <c r="Y99" s="11">
        <v>2</v>
      </c>
      <c r="Z99" s="11">
        <v>1</v>
      </c>
      <c r="AA99" s="12" t="s">
        <v>34</v>
      </c>
      <c r="AB99" s="12" t="s">
        <v>35</v>
      </c>
      <c r="AC99" s="13"/>
      <c r="AD99" s="12" t="s">
        <v>36</v>
      </c>
      <c r="AE99" s="12" t="s">
        <v>33</v>
      </c>
      <c r="AF99" s="12" t="s">
        <v>37</v>
      </c>
      <c r="AG99" s="13"/>
    </row>
    <row r="100" spans="1:33" ht="20" customHeight="1" x14ac:dyDescent="0.15">
      <c r="A100" s="9">
        <v>60</v>
      </c>
      <c r="B100" s="10">
        <v>87</v>
      </c>
      <c r="C100" s="11">
        <v>165</v>
      </c>
      <c r="D100" s="11">
        <v>98</v>
      </c>
      <c r="E100" s="11">
        <v>98</v>
      </c>
      <c r="F100" s="11">
        <v>0</v>
      </c>
      <c r="G100" s="12" t="s">
        <v>32</v>
      </c>
      <c r="H100" s="11">
        <v>1.9601980829611401</v>
      </c>
      <c r="I100" s="12" t="s">
        <v>33</v>
      </c>
      <c r="J100" s="11">
        <v>0</v>
      </c>
      <c r="K100" s="11">
        <v>98</v>
      </c>
      <c r="L100" s="11">
        <v>98</v>
      </c>
      <c r="M100" s="11">
        <v>34</v>
      </c>
      <c r="N100" s="11">
        <v>244.14829262508999</v>
      </c>
      <c r="O100" s="13"/>
      <c r="P100" s="11">
        <v>244.13921295898001</v>
      </c>
      <c r="Q100" s="11">
        <v>244.14829262508999</v>
      </c>
      <c r="R100" s="11">
        <v>245.13074712501799</v>
      </c>
      <c r="S100" s="11">
        <v>245.13074712501799</v>
      </c>
      <c r="T100" s="11">
        <v>245.138157584006</v>
      </c>
      <c r="U100" s="11">
        <v>247.09646420902601</v>
      </c>
      <c r="V100" s="12" t="s">
        <v>32</v>
      </c>
      <c r="W100" s="11">
        <v>1.9601980829611401</v>
      </c>
      <c r="X100" s="12" t="s">
        <v>33</v>
      </c>
      <c r="Y100" s="11">
        <v>2</v>
      </c>
      <c r="Z100" s="11">
        <v>1</v>
      </c>
      <c r="AA100" s="12" t="s">
        <v>34</v>
      </c>
      <c r="AB100" s="12" t="s">
        <v>35</v>
      </c>
      <c r="AC100" s="13"/>
      <c r="AD100" s="12" t="s">
        <v>36</v>
      </c>
      <c r="AE100" s="12" t="s">
        <v>33</v>
      </c>
      <c r="AF100" s="12" t="s">
        <v>37</v>
      </c>
      <c r="AG100" s="13"/>
    </row>
    <row r="101" spans="1:33" ht="20" customHeight="1" x14ac:dyDescent="0.15">
      <c r="A101" s="9">
        <v>12</v>
      </c>
      <c r="B101" s="10">
        <v>21</v>
      </c>
      <c r="C101" s="11">
        <v>127</v>
      </c>
      <c r="D101" s="11">
        <v>99</v>
      </c>
      <c r="E101" s="11">
        <v>99</v>
      </c>
      <c r="F101" s="11">
        <v>0</v>
      </c>
      <c r="G101" s="12" t="s">
        <v>38</v>
      </c>
      <c r="H101" s="11">
        <v>1.5495630830992</v>
      </c>
      <c r="I101" s="12" t="s">
        <v>33</v>
      </c>
      <c r="J101" s="11">
        <v>0</v>
      </c>
      <c r="K101" s="11">
        <v>99</v>
      </c>
      <c r="L101" s="11">
        <v>99</v>
      </c>
      <c r="M101" s="11">
        <v>12</v>
      </c>
      <c r="N101" s="11">
        <v>247.11140245897701</v>
      </c>
      <c r="O101" s="13"/>
      <c r="P101" s="11">
        <v>247.102827167138</v>
      </c>
      <c r="Q101" s="11">
        <v>247.11140245897701</v>
      </c>
      <c r="R101" s="11">
        <v>248.097444709158</v>
      </c>
      <c r="S101" s="11">
        <v>248.097444709158</v>
      </c>
      <c r="T101" s="11">
        <v>248.104620959144</v>
      </c>
      <c r="U101" s="11">
        <v>249.65832383395201</v>
      </c>
      <c r="V101" s="12" t="s">
        <v>38</v>
      </c>
      <c r="W101" s="11">
        <v>1.5495630830992</v>
      </c>
      <c r="X101" s="12" t="s">
        <v>33</v>
      </c>
      <c r="Y101" s="11">
        <v>2</v>
      </c>
      <c r="Z101" s="11">
        <v>1</v>
      </c>
      <c r="AA101" s="12" t="s">
        <v>34</v>
      </c>
      <c r="AB101" s="12" t="s">
        <v>35</v>
      </c>
      <c r="AC101" s="13"/>
      <c r="AD101" s="12" t="s">
        <v>36</v>
      </c>
      <c r="AE101" s="12" t="s">
        <v>33</v>
      </c>
      <c r="AF101" s="12" t="s">
        <v>37</v>
      </c>
      <c r="AG1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D9A6-2697-FB40-982E-DEE4B3EB2481}">
  <dimension ref="A1:G104"/>
  <sheetViews>
    <sheetView tabSelected="1" zoomScale="114" workbookViewId="0">
      <selection activeCell="E2" sqref="E2"/>
    </sheetView>
  </sheetViews>
  <sheetFormatPr baseColWidth="10" defaultRowHeight="13" x14ac:dyDescent="0.15"/>
  <cols>
    <col min="5" max="5" width="11.6640625" bestFit="1" customWidth="1"/>
    <col min="7" max="7" width="11.6640625" bestFit="1" customWidth="1"/>
  </cols>
  <sheetData>
    <row r="1" spans="1:7" ht="28" x14ac:dyDescent="0.15">
      <c r="A1" t="s">
        <v>0</v>
      </c>
      <c r="B1" t="s">
        <v>1</v>
      </c>
      <c r="C1" t="s">
        <v>2</v>
      </c>
      <c r="D1" t="s">
        <v>6</v>
      </c>
      <c r="E1" s="14" t="s">
        <v>39</v>
      </c>
      <c r="G1" s="14" t="s">
        <v>40</v>
      </c>
    </row>
    <row r="2" spans="1:7" ht="14" x14ac:dyDescent="0.15">
      <c r="A2">
        <v>78</v>
      </c>
      <c r="B2">
        <v>80</v>
      </c>
      <c r="C2">
        <v>162</v>
      </c>
      <c r="D2" t="s">
        <v>38</v>
      </c>
      <c r="E2">
        <f t="shared" ref="E2:E33" si="0">((B2/A2)-1)/C2</f>
        <v>1.5827793605571326E-4</v>
      </c>
    </row>
    <row r="3" spans="1:7" ht="14" x14ac:dyDescent="0.15">
      <c r="A3">
        <v>71</v>
      </c>
      <c r="B3">
        <v>76</v>
      </c>
      <c r="C3">
        <v>117</v>
      </c>
      <c r="D3" t="s">
        <v>38</v>
      </c>
      <c r="E3">
        <f t="shared" si="0"/>
        <v>6.0190201035271377E-4</v>
      </c>
    </row>
    <row r="4" spans="1:7" ht="14" x14ac:dyDescent="0.15">
      <c r="A4">
        <v>70</v>
      </c>
      <c r="B4">
        <v>77</v>
      </c>
      <c r="C4">
        <v>164</v>
      </c>
      <c r="D4" s="15" t="s">
        <v>38</v>
      </c>
      <c r="E4">
        <f t="shared" si="0"/>
        <v>6.0975609756097615E-4</v>
      </c>
      <c r="G4">
        <f>GEOMEAN(E4,E5)</f>
        <v>7.2145114915386343E-4</v>
      </c>
    </row>
    <row r="5" spans="1:7" ht="14" x14ac:dyDescent="0.15">
      <c r="A5">
        <v>71</v>
      </c>
      <c r="B5">
        <v>81</v>
      </c>
      <c r="C5">
        <v>165</v>
      </c>
      <c r="D5" s="15" t="s">
        <v>32</v>
      </c>
      <c r="E5">
        <f t="shared" si="0"/>
        <v>8.5360648740930457E-4</v>
      </c>
    </row>
    <row r="6" spans="1:7" ht="14" x14ac:dyDescent="0.15">
      <c r="A6">
        <v>72</v>
      </c>
      <c r="B6">
        <v>83</v>
      </c>
      <c r="C6">
        <v>173</v>
      </c>
      <c r="D6" t="s">
        <v>38</v>
      </c>
      <c r="E6">
        <f t="shared" si="0"/>
        <v>8.8310854206807908E-4</v>
      </c>
    </row>
    <row r="7" spans="1:7" ht="14" x14ac:dyDescent="0.15">
      <c r="A7">
        <v>64</v>
      </c>
      <c r="B7">
        <v>75</v>
      </c>
      <c r="C7">
        <v>172</v>
      </c>
      <c r="D7" t="s">
        <v>38</v>
      </c>
      <c r="E7">
        <f t="shared" si="0"/>
        <v>9.9927325581395353E-4</v>
      </c>
    </row>
    <row r="8" spans="1:7" ht="14" x14ac:dyDescent="0.15">
      <c r="A8">
        <v>67</v>
      </c>
      <c r="B8">
        <v>75</v>
      </c>
      <c r="C8">
        <v>119</v>
      </c>
      <c r="D8" s="15" t="s">
        <v>38</v>
      </c>
      <c r="E8">
        <f t="shared" si="0"/>
        <v>1.0033864291985443E-3</v>
      </c>
      <c r="G8">
        <f>GEOMEAN(E8,E9)</f>
        <v>1.0098027805911301E-3</v>
      </c>
    </row>
    <row r="9" spans="1:7" ht="14" x14ac:dyDescent="0.15">
      <c r="A9">
        <v>30</v>
      </c>
      <c r="B9">
        <v>35</v>
      </c>
      <c r="C9">
        <v>164</v>
      </c>
      <c r="D9" s="15" t="s">
        <v>32</v>
      </c>
      <c r="E9">
        <f t="shared" si="0"/>
        <v>1.0162601626016266E-3</v>
      </c>
    </row>
    <row r="10" spans="1:7" ht="14" x14ac:dyDescent="0.15">
      <c r="A10">
        <v>69</v>
      </c>
      <c r="B10">
        <v>79</v>
      </c>
      <c r="C10">
        <v>116</v>
      </c>
      <c r="D10" s="16" t="s">
        <v>38</v>
      </c>
      <c r="E10">
        <f t="shared" si="0"/>
        <v>1.2493753123438279E-3</v>
      </c>
      <c r="G10">
        <f>GEOMEAN(E10,E11)</f>
        <v>1.2882204004273457E-3</v>
      </c>
    </row>
    <row r="11" spans="1:7" ht="14" x14ac:dyDescent="0.15">
      <c r="A11">
        <v>62</v>
      </c>
      <c r="B11">
        <v>76</v>
      </c>
      <c r="C11">
        <v>170</v>
      </c>
      <c r="D11" s="16" t="s">
        <v>32</v>
      </c>
      <c r="E11">
        <f t="shared" si="0"/>
        <v>1.3282732447817839E-3</v>
      </c>
    </row>
    <row r="12" spans="1:7" ht="14" x14ac:dyDescent="0.15">
      <c r="A12">
        <v>68</v>
      </c>
      <c r="B12">
        <v>82</v>
      </c>
      <c r="C12">
        <v>152</v>
      </c>
      <c r="D12" s="15" t="s">
        <v>32</v>
      </c>
      <c r="E12">
        <f t="shared" si="0"/>
        <v>1.3544891640866869E-3</v>
      </c>
      <c r="G12">
        <f>GEOMEAN(E12,E13)</f>
        <v>1.3775464632916836E-3</v>
      </c>
    </row>
    <row r="13" spans="1:7" ht="14" x14ac:dyDescent="0.15">
      <c r="A13">
        <v>44</v>
      </c>
      <c r="B13">
        <v>53</v>
      </c>
      <c r="C13">
        <v>146</v>
      </c>
      <c r="D13" s="15" t="s">
        <v>38</v>
      </c>
      <c r="E13">
        <f t="shared" si="0"/>
        <v>1.4009962640099628E-3</v>
      </c>
    </row>
    <row r="14" spans="1:7" ht="14" x14ac:dyDescent="0.15">
      <c r="A14">
        <v>56</v>
      </c>
      <c r="B14">
        <v>64</v>
      </c>
      <c r="C14">
        <v>100</v>
      </c>
      <c r="D14" t="s">
        <v>38</v>
      </c>
      <c r="E14">
        <f t="shared" si="0"/>
        <v>1.4285714285714279E-3</v>
      </c>
    </row>
    <row r="15" spans="1:7" ht="14" x14ac:dyDescent="0.15">
      <c r="A15">
        <v>72</v>
      </c>
      <c r="B15">
        <v>89</v>
      </c>
      <c r="C15">
        <v>152</v>
      </c>
      <c r="D15" t="s">
        <v>38</v>
      </c>
      <c r="E15">
        <f t="shared" si="0"/>
        <v>1.5533625730994156E-3</v>
      </c>
    </row>
    <row r="16" spans="1:7" ht="14" x14ac:dyDescent="0.15">
      <c r="A16">
        <v>47</v>
      </c>
      <c r="B16">
        <v>56</v>
      </c>
      <c r="C16">
        <v>120</v>
      </c>
      <c r="D16" t="s">
        <v>38</v>
      </c>
      <c r="E16">
        <f t="shared" si="0"/>
        <v>1.5957446808510633E-3</v>
      </c>
    </row>
    <row r="17" spans="1:7" ht="14" x14ac:dyDescent="0.15">
      <c r="A17">
        <v>39</v>
      </c>
      <c r="B17">
        <v>44</v>
      </c>
      <c r="C17">
        <v>73</v>
      </c>
      <c r="D17" s="15" t="s">
        <v>38</v>
      </c>
      <c r="E17">
        <f t="shared" si="0"/>
        <v>1.7562346329469615E-3</v>
      </c>
      <c r="G17">
        <f>GEOMEAN(E17,E18)</f>
        <v>1.7594305073651783E-3</v>
      </c>
    </row>
    <row r="18" spans="1:7" ht="14" x14ac:dyDescent="0.15">
      <c r="A18">
        <v>69</v>
      </c>
      <c r="B18">
        <v>87</v>
      </c>
      <c r="C18">
        <v>148</v>
      </c>
      <c r="D18" s="15" t="s">
        <v>32</v>
      </c>
      <c r="E18">
        <f t="shared" si="0"/>
        <v>1.7626321974148064E-3</v>
      </c>
    </row>
    <row r="19" spans="1:7" ht="14" x14ac:dyDescent="0.15">
      <c r="A19">
        <v>73</v>
      </c>
      <c r="B19">
        <v>90</v>
      </c>
      <c r="C19">
        <v>132</v>
      </c>
      <c r="D19" t="s">
        <v>32</v>
      </c>
      <c r="E19">
        <f t="shared" si="0"/>
        <v>1.7642175176421754E-3</v>
      </c>
    </row>
    <row r="20" spans="1:7" ht="14" x14ac:dyDescent="0.15">
      <c r="A20">
        <v>20</v>
      </c>
      <c r="B20">
        <v>26</v>
      </c>
      <c r="C20">
        <v>165</v>
      </c>
      <c r="D20" s="15" t="s">
        <v>32</v>
      </c>
      <c r="E20">
        <f t="shared" si="0"/>
        <v>1.8181818181818184E-3</v>
      </c>
      <c r="G20">
        <f>GEOMEAN(E20,E21)</f>
        <v>1.8539192726574815E-3</v>
      </c>
    </row>
    <row r="21" spans="1:7" ht="14" x14ac:dyDescent="0.15">
      <c r="A21">
        <v>69</v>
      </c>
      <c r="B21">
        <v>75</v>
      </c>
      <c r="C21">
        <v>46</v>
      </c>
      <c r="D21" s="15" t="s">
        <v>38</v>
      </c>
      <c r="E21">
        <f t="shared" si="0"/>
        <v>1.8903591682419647E-3</v>
      </c>
    </row>
    <row r="22" spans="1:7" ht="14" x14ac:dyDescent="0.15">
      <c r="A22">
        <v>57</v>
      </c>
      <c r="B22">
        <v>70</v>
      </c>
      <c r="C22">
        <v>120</v>
      </c>
      <c r="D22" t="s">
        <v>32</v>
      </c>
      <c r="E22">
        <f t="shared" si="0"/>
        <v>1.9005847953216378E-3</v>
      </c>
    </row>
    <row r="23" spans="1:7" ht="14" x14ac:dyDescent="0.15">
      <c r="A23">
        <v>71</v>
      </c>
      <c r="B23">
        <v>92</v>
      </c>
      <c r="C23">
        <v>151</v>
      </c>
      <c r="D23" s="15" t="s">
        <v>32</v>
      </c>
      <c r="E23">
        <f t="shared" si="0"/>
        <v>1.9587725025650596E-3</v>
      </c>
      <c r="G23">
        <f>GEOMEAN(E23,E24)</f>
        <v>1.9714089829625096E-3</v>
      </c>
    </row>
    <row r="24" spans="1:7" ht="14" x14ac:dyDescent="0.15">
      <c r="A24">
        <v>51</v>
      </c>
      <c r="B24">
        <v>68</v>
      </c>
      <c r="C24">
        <v>168</v>
      </c>
      <c r="D24" s="15" t="s">
        <v>38</v>
      </c>
      <c r="E24">
        <f t="shared" si="0"/>
        <v>1.9841269841269836E-3</v>
      </c>
    </row>
    <row r="25" spans="1:7" ht="14" x14ac:dyDescent="0.15">
      <c r="A25">
        <v>56</v>
      </c>
      <c r="B25">
        <v>71</v>
      </c>
      <c r="C25">
        <v>133</v>
      </c>
      <c r="D25" s="16" t="s">
        <v>32</v>
      </c>
      <c r="E25">
        <f t="shared" si="0"/>
        <v>2.0139634801288934E-3</v>
      </c>
      <c r="G25">
        <f>GEOMEAN(E25,E26)</f>
        <v>2.0346249847652074E-3</v>
      </c>
    </row>
    <row r="26" spans="1:7" ht="14" x14ac:dyDescent="0.15">
      <c r="A26">
        <v>21</v>
      </c>
      <c r="B26">
        <v>27</v>
      </c>
      <c r="C26">
        <v>139</v>
      </c>
      <c r="D26" s="16" t="s">
        <v>38</v>
      </c>
      <c r="E26">
        <f t="shared" si="0"/>
        <v>2.0554984583761567E-3</v>
      </c>
    </row>
    <row r="27" spans="1:7" ht="14" x14ac:dyDescent="0.15">
      <c r="A27">
        <v>43</v>
      </c>
      <c r="B27">
        <v>54</v>
      </c>
      <c r="C27">
        <v>124</v>
      </c>
      <c r="D27" s="15" t="s">
        <v>38</v>
      </c>
      <c r="E27">
        <f t="shared" si="0"/>
        <v>2.0630157539384846E-3</v>
      </c>
      <c r="G27">
        <f>GEOMEAN(E27,E28)</f>
        <v>2.1059986774043635E-3</v>
      </c>
    </row>
    <row r="28" spans="1:7" ht="14" x14ac:dyDescent="0.15">
      <c r="A28">
        <v>74</v>
      </c>
      <c r="B28">
        <v>95</v>
      </c>
      <c r="C28">
        <v>132</v>
      </c>
      <c r="D28" s="15" t="s">
        <v>32</v>
      </c>
      <c r="E28">
        <f t="shared" si="0"/>
        <v>2.1498771498771499E-3</v>
      </c>
    </row>
    <row r="29" spans="1:7" ht="14" x14ac:dyDescent="0.15">
      <c r="A29">
        <v>69</v>
      </c>
      <c r="B29">
        <v>92</v>
      </c>
      <c r="C29">
        <v>151</v>
      </c>
      <c r="D29" t="s">
        <v>32</v>
      </c>
      <c r="E29">
        <f t="shared" si="0"/>
        <v>2.2075055187637965E-3</v>
      </c>
    </row>
    <row r="30" spans="1:7" ht="14" x14ac:dyDescent="0.15">
      <c r="A30">
        <v>71</v>
      </c>
      <c r="B30">
        <v>95</v>
      </c>
      <c r="C30">
        <v>152</v>
      </c>
      <c r="D30" s="15" t="s">
        <v>32</v>
      </c>
      <c r="E30">
        <f t="shared" si="0"/>
        <v>2.223869532987398E-3</v>
      </c>
      <c r="G30">
        <f>GEOMEAN(E30,E31)</f>
        <v>2.2436376509306689E-3</v>
      </c>
    </row>
    <row r="31" spans="1:7" ht="14" x14ac:dyDescent="0.15">
      <c r="A31">
        <v>71</v>
      </c>
      <c r="B31">
        <v>80</v>
      </c>
      <c r="C31">
        <v>56</v>
      </c>
      <c r="D31" s="15" t="s">
        <v>38</v>
      </c>
      <c r="E31">
        <f t="shared" si="0"/>
        <v>2.2635814889336026E-3</v>
      </c>
    </row>
    <row r="32" spans="1:7" ht="14" x14ac:dyDescent="0.15">
      <c r="A32">
        <v>53</v>
      </c>
      <c r="B32">
        <v>60</v>
      </c>
      <c r="C32">
        <v>58</v>
      </c>
      <c r="D32" s="16" t="s">
        <v>38</v>
      </c>
      <c r="E32">
        <f t="shared" si="0"/>
        <v>2.2771633051398826E-3</v>
      </c>
      <c r="G32">
        <f>GEOMEAN(E32,E33)</f>
        <v>2.289862034454315E-3</v>
      </c>
    </row>
    <row r="33" spans="1:7" ht="14" x14ac:dyDescent="0.15">
      <c r="A33">
        <v>80</v>
      </c>
      <c r="B33">
        <v>101</v>
      </c>
      <c r="C33">
        <v>114</v>
      </c>
      <c r="D33" s="16" t="s">
        <v>32</v>
      </c>
      <c r="E33">
        <f t="shared" si="0"/>
        <v>2.3026315789473682E-3</v>
      </c>
    </row>
    <row r="34" spans="1:7" ht="14" x14ac:dyDescent="0.15">
      <c r="A34">
        <v>69</v>
      </c>
      <c r="B34">
        <v>88</v>
      </c>
      <c r="C34">
        <v>116</v>
      </c>
      <c r="D34" s="15" t="s">
        <v>32</v>
      </c>
      <c r="E34">
        <f t="shared" ref="E34:E65" si="1">((B34/A34)-1)/C34</f>
        <v>2.3738130934532723E-3</v>
      </c>
      <c r="G34">
        <f>GEOMEAN(E34,E35)</f>
        <v>2.3958813484406746E-3</v>
      </c>
    </row>
    <row r="35" spans="1:7" ht="14" x14ac:dyDescent="0.15">
      <c r="A35">
        <v>42</v>
      </c>
      <c r="B35">
        <v>55</v>
      </c>
      <c r="C35">
        <v>128</v>
      </c>
      <c r="D35" s="15" t="s">
        <v>38</v>
      </c>
      <c r="E35">
        <f t="shared" si="1"/>
        <v>2.418154761904762E-3</v>
      </c>
    </row>
    <row r="36" spans="1:7" ht="14" x14ac:dyDescent="0.15">
      <c r="A36">
        <v>49</v>
      </c>
      <c r="B36">
        <v>60</v>
      </c>
      <c r="C36">
        <v>89</v>
      </c>
      <c r="D36" s="16" t="s">
        <v>32</v>
      </c>
      <c r="E36">
        <f t="shared" si="1"/>
        <v>2.522357257509746E-3</v>
      </c>
      <c r="G36">
        <f>GEOMEAN(E36,E37)</f>
        <v>2.551129030917663E-3</v>
      </c>
    </row>
    <row r="37" spans="1:7" ht="14" x14ac:dyDescent="0.15">
      <c r="A37">
        <v>53</v>
      </c>
      <c r="B37">
        <v>69</v>
      </c>
      <c r="C37">
        <v>117</v>
      </c>
      <c r="D37" s="16" t="s">
        <v>38</v>
      </c>
      <c r="E37">
        <f t="shared" si="1"/>
        <v>2.5802289953233346E-3</v>
      </c>
    </row>
    <row r="38" spans="1:7" ht="14" x14ac:dyDescent="0.15">
      <c r="A38">
        <v>73</v>
      </c>
      <c r="B38">
        <v>100</v>
      </c>
      <c r="C38">
        <v>143</v>
      </c>
      <c r="D38" s="15" t="s">
        <v>32</v>
      </c>
      <c r="E38">
        <f t="shared" si="1"/>
        <v>2.5864546412491612E-3</v>
      </c>
      <c r="G38">
        <f>GEOMEAN(E38,E39)</f>
        <v>2.6321100857194342E-3</v>
      </c>
    </row>
    <row r="39" spans="1:7" ht="14" x14ac:dyDescent="0.15">
      <c r="A39">
        <v>16</v>
      </c>
      <c r="B39">
        <v>22</v>
      </c>
      <c r="C39">
        <v>140</v>
      </c>
      <c r="D39" s="15" t="s">
        <v>38</v>
      </c>
      <c r="E39">
        <f t="shared" si="1"/>
        <v>2.6785714285714286E-3</v>
      </c>
    </row>
    <row r="40" spans="1:7" ht="14" x14ac:dyDescent="0.15">
      <c r="A40">
        <v>60</v>
      </c>
      <c r="B40">
        <v>87</v>
      </c>
      <c r="C40">
        <v>165</v>
      </c>
      <c r="D40" t="s">
        <v>32</v>
      </c>
      <c r="E40">
        <f t="shared" si="1"/>
        <v>2.7272727272727271E-3</v>
      </c>
    </row>
    <row r="41" spans="1:7" ht="14" x14ac:dyDescent="0.15">
      <c r="A41">
        <v>50</v>
      </c>
      <c r="B41">
        <v>71</v>
      </c>
      <c r="C41">
        <v>152</v>
      </c>
      <c r="D41" t="s">
        <v>32</v>
      </c>
      <c r="E41">
        <f t="shared" si="1"/>
        <v>2.7631578947368415E-3</v>
      </c>
    </row>
    <row r="42" spans="1:7" ht="14" x14ac:dyDescent="0.15">
      <c r="A42">
        <v>49</v>
      </c>
      <c r="B42">
        <v>72</v>
      </c>
      <c r="C42">
        <v>168</v>
      </c>
      <c r="D42" s="15" t="s">
        <v>32</v>
      </c>
      <c r="E42">
        <f t="shared" si="1"/>
        <v>2.7939747327502436E-3</v>
      </c>
      <c r="G42">
        <f>GEOMEAN(E42,E43)</f>
        <v>2.8078874710516571E-3</v>
      </c>
    </row>
    <row r="43" spans="1:7" ht="14" x14ac:dyDescent="0.15">
      <c r="A43">
        <v>63</v>
      </c>
      <c r="B43">
        <v>87</v>
      </c>
      <c r="C43">
        <v>135</v>
      </c>
      <c r="D43" s="15" t="s">
        <v>38</v>
      </c>
      <c r="E43">
        <f t="shared" si="1"/>
        <v>2.821869488536155E-3</v>
      </c>
    </row>
    <row r="44" spans="1:7" ht="14" x14ac:dyDescent="0.15">
      <c r="A44">
        <v>60</v>
      </c>
      <c r="B44">
        <v>75</v>
      </c>
      <c r="C44">
        <v>86</v>
      </c>
      <c r="D44" t="s">
        <v>38</v>
      </c>
      <c r="E44">
        <f t="shared" si="1"/>
        <v>2.9069767441860465E-3</v>
      </c>
    </row>
    <row r="45" spans="1:7" ht="14" x14ac:dyDescent="0.15">
      <c r="A45">
        <v>33</v>
      </c>
      <c r="B45">
        <v>40</v>
      </c>
      <c r="C45">
        <v>72</v>
      </c>
      <c r="D45" s="15" t="s">
        <v>38</v>
      </c>
      <c r="E45">
        <f t="shared" si="1"/>
        <v>2.9461279461279466E-3</v>
      </c>
      <c r="G45">
        <f>GEOMEAN(E45,E46)</f>
        <v>2.9545334637683914E-3</v>
      </c>
    </row>
    <row r="46" spans="1:7" ht="14" x14ac:dyDescent="0.15">
      <c r="A46">
        <v>54</v>
      </c>
      <c r="B46">
        <v>78</v>
      </c>
      <c r="C46">
        <v>150</v>
      </c>
      <c r="D46" s="15" t="s">
        <v>32</v>
      </c>
      <c r="E46">
        <f t="shared" si="1"/>
        <v>2.9629629629629628E-3</v>
      </c>
    </row>
    <row r="47" spans="1:7" ht="14" x14ac:dyDescent="0.15">
      <c r="A47">
        <v>63</v>
      </c>
      <c r="B47">
        <v>92</v>
      </c>
      <c r="C47">
        <v>151</v>
      </c>
      <c r="D47" t="s">
        <v>32</v>
      </c>
      <c r="E47">
        <f t="shared" si="1"/>
        <v>3.0484600021023858E-3</v>
      </c>
    </row>
    <row r="48" spans="1:7" ht="14" x14ac:dyDescent="0.15">
      <c r="A48">
        <v>27</v>
      </c>
      <c r="B48">
        <v>40</v>
      </c>
      <c r="C48">
        <v>156</v>
      </c>
      <c r="D48" s="15" t="s">
        <v>32</v>
      </c>
      <c r="E48">
        <f t="shared" si="1"/>
        <v>3.0864197530864191E-3</v>
      </c>
      <c r="G48">
        <f>GEOMEAN(E48,E49)</f>
        <v>3.1056499687497074E-3</v>
      </c>
    </row>
    <row r="49" spans="1:7" ht="14" x14ac:dyDescent="0.15">
      <c r="A49">
        <v>80</v>
      </c>
      <c r="B49">
        <v>96</v>
      </c>
      <c r="C49">
        <v>64</v>
      </c>
      <c r="D49" s="15" t="s">
        <v>38</v>
      </c>
      <c r="E49">
        <f t="shared" si="1"/>
        <v>3.1249999999999993E-3</v>
      </c>
    </row>
    <row r="50" spans="1:7" ht="14" x14ac:dyDescent="0.15">
      <c r="A50">
        <v>62</v>
      </c>
      <c r="B50">
        <v>91</v>
      </c>
      <c r="C50">
        <v>148</v>
      </c>
      <c r="D50" s="16" t="s">
        <v>32</v>
      </c>
      <c r="E50">
        <f t="shared" si="1"/>
        <v>3.1604184829991284E-3</v>
      </c>
      <c r="G50">
        <f>GEOMEAN(E50,E51)</f>
        <v>3.1981074920554987E-3</v>
      </c>
    </row>
    <row r="51" spans="1:7" ht="14" x14ac:dyDescent="0.15">
      <c r="A51">
        <v>15</v>
      </c>
      <c r="B51">
        <v>20</v>
      </c>
      <c r="C51">
        <v>103</v>
      </c>
      <c r="D51" s="16" t="s">
        <v>38</v>
      </c>
      <c r="E51">
        <f t="shared" si="1"/>
        <v>3.2362459546925559E-3</v>
      </c>
    </row>
    <row r="52" spans="1:7" ht="14" x14ac:dyDescent="0.15">
      <c r="A52">
        <v>23</v>
      </c>
      <c r="B52">
        <v>35</v>
      </c>
      <c r="C52">
        <v>156</v>
      </c>
      <c r="D52" s="15" t="s">
        <v>38</v>
      </c>
      <c r="E52">
        <f t="shared" si="1"/>
        <v>3.3444816053511714E-3</v>
      </c>
      <c r="G52">
        <f>GEOMEAN(E52,E53)</f>
        <v>3.3974469455084985E-3</v>
      </c>
    </row>
    <row r="53" spans="1:7" ht="14" x14ac:dyDescent="0.15">
      <c r="A53">
        <v>61</v>
      </c>
      <c r="B53">
        <v>73</v>
      </c>
      <c r="C53">
        <v>57</v>
      </c>
      <c r="D53" s="15" t="s">
        <v>32</v>
      </c>
      <c r="E53">
        <f t="shared" si="1"/>
        <v>3.4512510785159618E-3</v>
      </c>
    </row>
    <row r="54" spans="1:7" ht="14" x14ac:dyDescent="0.15">
      <c r="A54">
        <v>30</v>
      </c>
      <c r="B54">
        <v>41</v>
      </c>
      <c r="C54">
        <v>101</v>
      </c>
      <c r="D54" s="16" t="s">
        <v>38</v>
      </c>
      <c r="E54">
        <f t="shared" si="1"/>
        <v>3.6303630363036308E-3</v>
      </c>
      <c r="G54">
        <f>GEOMEAN(E54,E55)</f>
        <v>3.7299118453248343E-3</v>
      </c>
    </row>
    <row r="55" spans="1:7" ht="14" x14ac:dyDescent="0.15">
      <c r="A55">
        <v>67</v>
      </c>
      <c r="B55">
        <v>86</v>
      </c>
      <c r="C55">
        <v>74</v>
      </c>
      <c r="D55" s="16" t="s">
        <v>32</v>
      </c>
      <c r="E55">
        <f t="shared" si="1"/>
        <v>3.8321903993545777E-3</v>
      </c>
    </row>
    <row r="56" spans="1:7" ht="14" x14ac:dyDescent="0.15">
      <c r="A56">
        <v>43</v>
      </c>
      <c r="B56">
        <v>69</v>
      </c>
      <c r="C56">
        <v>149</v>
      </c>
      <c r="D56" t="s">
        <v>32</v>
      </c>
      <c r="E56">
        <f t="shared" si="1"/>
        <v>4.0580614952395811E-3</v>
      </c>
    </row>
    <row r="57" spans="1:7" ht="14" x14ac:dyDescent="0.15">
      <c r="A57">
        <v>31</v>
      </c>
      <c r="B57">
        <v>50</v>
      </c>
      <c r="C57">
        <v>149</v>
      </c>
      <c r="D57" t="s">
        <v>32</v>
      </c>
      <c r="E57">
        <f t="shared" si="1"/>
        <v>4.1134444684996748E-3</v>
      </c>
    </row>
    <row r="58" spans="1:7" ht="14" x14ac:dyDescent="0.15">
      <c r="A58">
        <v>45</v>
      </c>
      <c r="B58">
        <v>72</v>
      </c>
      <c r="C58">
        <v>144</v>
      </c>
      <c r="D58" s="15" t="s">
        <v>32</v>
      </c>
      <c r="E58">
        <f t="shared" si="1"/>
        <v>4.1666666666666675E-3</v>
      </c>
      <c r="G58">
        <f>GEOMEAN(E58,E59)</f>
        <v>4.2133970998632659E-3</v>
      </c>
    </row>
    <row r="59" spans="1:7" ht="14" x14ac:dyDescent="0.15">
      <c r="A59">
        <v>30</v>
      </c>
      <c r="B59">
        <v>47</v>
      </c>
      <c r="C59">
        <v>133</v>
      </c>
      <c r="D59" s="15" t="s">
        <v>38</v>
      </c>
      <c r="E59">
        <f t="shared" si="1"/>
        <v>4.2606516290726818E-3</v>
      </c>
    </row>
    <row r="60" spans="1:7" ht="14" x14ac:dyDescent="0.15">
      <c r="A60">
        <v>57</v>
      </c>
      <c r="B60">
        <v>66</v>
      </c>
      <c r="C60">
        <v>37</v>
      </c>
      <c r="D60" s="16" t="s">
        <v>38</v>
      </c>
      <c r="E60">
        <f t="shared" si="1"/>
        <v>4.2674253200569003E-3</v>
      </c>
      <c r="G60">
        <f>GEOMEAN(E60,E61)</f>
        <v>4.2835593107595727E-3</v>
      </c>
    </row>
    <row r="61" spans="1:7" ht="14" x14ac:dyDescent="0.15">
      <c r="A61">
        <v>37</v>
      </c>
      <c r="B61">
        <v>58</v>
      </c>
      <c r="C61">
        <v>132</v>
      </c>
      <c r="D61" s="16" t="s">
        <v>32</v>
      </c>
      <c r="E61">
        <f t="shared" si="1"/>
        <v>4.2997542997542998E-3</v>
      </c>
    </row>
    <row r="62" spans="1:7" ht="14" x14ac:dyDescent="0.15">
      <c r="A62">
        <v>33</v>
      </c>
      <c r="B62">
        <v>49</v>
      </c>
      <c r="C62">
        <v>108</v>
      </c>
      <c r="D62" t="s">
        <v>38</v>
      </c>
      <c r="E62">
        <f t="shared" si="1"/>
        <v>4.4893378226711564E-3</v>
      </c>
    </row>
    <row r="63" spans="1:7" ht="14" x14ac:dyDescent="0.15">
      <c r="A63">
        <v>16</v>
      </c>
      <c r="B63">
        <v>24</v>
      </c>
      <c r="C63">
        <v>108</v>
      </c>
      <c r="D63" s="15" t="s">
        <v>38</v>
      </c>
      <c r="E63">
        <f t="shared" si="1"/>
        <v>4.6296296296296294E-3</v>
      </c>
      <c r="G63">
        <f>GEOMEAN(E63,E64)</f>
        <v>4.6613371437196349E-3</v>
      </c>
    </row>
    <row r="64" spans="1:7" ht="14" x14ac:dyDescent="0.15">
      <c r="A64">
        <v>38</v>
      </c>
      <c r="B64">
        <v>66</v>
      </c>
      <c r="C64">
        <v>157</v>
      </c>
      <c r="D64" s="15" t="s">
        <v>32</v>
      </c>
      <c r="E64">
        <f t="shared" si="1"/>
        <v>4.6932618169627897E-3</v>
      </c>
    </row>
    <row r="65" spans="1:7" ht="14" x14ac:dyDescent="0.15">
      <c r="A65">
        <v>24</v>
      </c>
      <c r="B65">
        <v>33</v>
      </c>
      <c r="C65">
        <v>79</v>
      </c>
      <c r="D65" s="16" t="s">
        <v>38</v>
      </c>
      <c r="E65">
        <f t="shared" si="1"/>
        <v>4.7468354430379748E-3</v>
      </c>
      <c r="G65">
        <f>GEOMEAN(E65,E66)</f>
        <v>4.8080874658985142E-3</v>
      </c>
    </row>
    <row r="66" spans="1:7" ht="14" x14ac:dyDescent="0.15">
      <c r="A66">
        <v>42</v>
      </c>
      <c r="B66">
        <v>69</v>
      </c>
      <c r="C66">
        <v>132</v>
      </c>
      <c r="D66" s="16" t="s">
        <v>32</v>
      </c>
      <c r="E66">
        <f t="shared" ref="E66:E101" si="2">((B66/A66)-1)/C66</f>
        <v>4.87012987012987E-3</v>
      </c>
    </row>
    <row r="67" spans="1:7" ht="14" x14ac:dyDescent="0.15">
      <c r="A67">
        <v>24</v>
      </c>
      <c r="B67">
        <v>35</v>
      </c>
      <c r="C67">
        <v>94</v>
      </c>
      <c r="D67" t="s">
        <v>32</v>
      </c>
      <c r="E67">
        <f t="shared" si="2"/>
        <v>4.8758865248226943E-3</v>
      </c>
    </row>
    <row r="68" spans="1:7" ht="14" x14ac:dyDescent="0.15">
      <c r="A68">
        <v>50</v>
      </c>
      <c r="B68">
        <v>76</v>
      </c>
      <c r="C68">
        <v>103</v>
      </c>
      <c r="D68" t="s">
        <v>32</v>
      </c>
      <c r="E68">
        <f t="shared" si="2"/>
        <v>5.0485436893203889E-3</v>
      </c>
    </row>
    <row r="69" spans="1:7" ht="14" x14ac:dyDescent="0.15">
      <c r="A69">
        <v>13</v>
      </c>
      <c r="B69">
        <v>24</v>
      </c>
      <c r="C69">
        <v>164</v>
      </c>
      <c r="D69" t="s">
        <v>32</v>
      </c>
      <c r="E69">
        <f t="shared" si="2"/>
        <v>5.1594746716697943E-3</v>
      </c>
    </row>
    <row r="70" spans="1:7" ht="14" x14ac:dyDescent="0.15">
      <c r="A70">
        <v>27</v>
      </c>
      <c r="B70">
        <v>50</v>
      </c>
      <c r="C70">
        <v>155</v>
      </c>
      <c r="D70" s="15" t="s">
        <v>32</v>
      </c>
      <c r="E70">
        <f t="shared" si="2"/>
        <v>5.4958183990442052E-3</v>
      </c>
      <c r="G70">
        <f>GEOMEAN(E70,E71)</f>
        <v>5.5398291990638232E-3</v>
      </c>
    </row>
    <row r="71" spans="1:7" ht="14" x14ac:dyDescent="0.15">
      <c r="A71">
        <v>24</v>
      </c>
      <c r="B71">
        <v>37</v>
      </c>
      <c r="C71">
        <v>97</v>
      </c>
      <c r="D71" s="15" t="s">
        <v>38</v>
      </c>
      <c r="E71">
        <f t="shared" si="2"/>
        <v>5.5841924398625439E-3</v>
      </c>
    </row>
    <row r="72" spans="1:7" ht="14" x14ac:dyDescent="0.15">
      <c r="A72">
        <v>17</v>
      </c>
      <c r="B72">
        <v>33</v>
      </c>
      <c r="C72">
        <v>167</v>
      </c>
      <c r="D72" s="16" t="s">
        <v>32</v>
      </c>
      <c r="E72">
        <f t="shared" si="2"/>
        <v>5.6357872490313491E-3</v>
      </c>
      <c r="G72">
        <f>GEOMEAN(E72,E73)</f>
        <v>5.6772184589581236E-3</v>
      </c>
    </row>
    <row r="73" spans="1:7" ht="14" x14ac:dyDescent="0.15">
      <c r="A73">
        <v>17</v>
      </c>
      <c r="B73">
        <v>24</v>
      </c>
      <c r="C73">
        <v>72</v>
      </c>
      <c r="D73" s="16" t="s">
        <v>38</v>
      </c>
      <c r="E73">
        <f t="shared" si="2"/>
        <v>5.7189542483660144E-3</v>
      </c>
    </row>
    <row r="74" spans="1:7" ht="14" x14ac:dyDescent="0.15">
      <c r="A74">
        <v>12</v>
      </c>
      <c r="B74">
        <v>21</v>
      </c>
      <c r="C74">
        <v>127</v>
      </c>
      <c r="D74" t="s">
        <v>38</v>
      </c>
      <c r="E74">
        <f t="shared" si="2"/>
        <v>5.905511811023622E-3</v>
      </c>
    </row>
    <row r="75" spans="1:7" ht="14" x14ac:dyDescent="0.15">
      <c r="A75">
        <v>23</v>
      </c>
      <c r="B75">
        <v>37</v>
      </c>
      <c r="C75">
        <v>103</v>
      </c>
      <c r="D75" t="s">
        <v>38</v>
      </c>
      <c r="E75">
        <f t="shared" si="2"/>
        <v>5.9096665259603214E-3</v>
      </c>
    </row>
    <row r="76" spans="1:7" ht="14" x14ac:dyDescent="0.15">
      <c r="A76">
        <v>40</v>
      </c>
      <c r="B76">
        <v>55</v>
      </c>
      <c r="C76">
        <v>62</v>
      </c>
      <c r="D76" s="15" t="s">
        <v>38</v>
      </c>
      <c r="E76">
        <f t="shared" si="2"/>
        <v>6.0483870967741934E-3</v>
      </c>
      <c r="G76">
        <f>GEOMEAN(E76,E77)</f>
        <v>6.1016108877262852E-3</v>
      </c>
    </row>
    <row r="77" spans="1:7" ht="14" x14ac:dyDescent="0.15">
      <c r="A77">
        <v>24</v>
      </c>
      <c r="B77">
        <v>50</v>
      </c>
      <c r="C77">
        <v>176</v>
      </c>
      <c r="D77" s="15" t="s">
        <v>32</v>
      </c>
      <c r="E77">
        <f t="shared" si="2"/>
        <v>6.1553030303030309E-3</v>
      </c>
    </row>
    <row r="78" spans="1:7" ht="14" x14ac:dyDescent="0.15">
      <c r="A78">
        <v>31</v>
      </c>
      <c r="B78">
        <v>50</v>
      </c>
      <c r="C78">
        <v>97</v>
      </c>
      <c r="D78" t="s">
        <v>32</v>
      </c>
      <c r="E78">
        <f t="shared" si="2"/>
        <v>6.3185899567675414E-3</v>
      </c>
    </row>
    <row r="79" spans="1:7" ht="14" x14ac:dyDescent="0.15">
      <c r="A79">
        <v>62</v>
      </c>
      <c r="B79">
        <v>80</v>
      </c>
      <c r="C79">
        <v>42</v>
      </c>
      <c r="D79" t="s">
        <v>32</v>
      </c>
      <c r="E79">
        <f t="shared" si="2"/>
        <v>6.9124423963133636E-3</v>
      </c>
    </row>
    <row r="80" spans="1:7" ht="14" x14ac:dyDescent="0.15">
      <c r="A80">
        <v>35</v>
      </c>
      <c r="B80">
        <v>63</v>
      </c>
      <c r="C80">
        <v>88</v>
      </c>
      <c r="D80" t="s">
        <v>32</v>
      </c>
      <c r="E80">
        <f t="shared" si="2"/>
        <v>9.0909090909090922E-3</v>
      </c>
    </row>
    <row r="81" spans="1:7" ht="14" x14ac:dyDescent="0.15">
      <c r="A81">
        <v>59</v>
      </c>
      <c r="B81">
        <v>88</v>
      </c>
      <c r="C81">
        <v>41</v>
      </c>
      <c r="D81" s="15" t="s">
        <v>32</v>
      </c>
      <c r="E81">
        <f t="shared" si="2"/>
        <v>1.1988424968995453E-2</v>
      </c>
      <c r="G81">
        <f>GEOMEAN(E81,E82)</f>
        <v>1.2128365054012012E-2</v>
      </c>
    </row>
    <row r="82" spans="1:7" ht="14" x14ac:dyDescent="0.15">
      <c r="A82">
        <v>13</v>
      </c>
      <c r="B82">
        <v>39</v>
      </c>
      <c r="C82">
        <v>163</v>
      </c>
      <c r="D82" s="15" t="s">
        <v>38</v>
      </c>
      <c r="E82">
        <f t="shared" si="2"/>
        <v>1.2269938650306749E-2</v>
      </c>
    </row>
    <row r="83" spans="1:7" ht="14" x14ac:dyDescent="0.15">
      <c r="A83">
        <v>44</v>
      </c>
      <c r="B83">
        <v>65</v>
      </c>
      <c r="C83">
        <v>37</v>
      </c>
      <c r="D83" t="s">
        <v>32</v>
      </c>
      <c r="E83">
        <f t="shared" si="2"/>
        <v>1.28992628992629E-2</v>
      </c>
    </row>
    <row r="84" spans="1:7" ht="14" x14ac:dyDescent="0.15">
      <c r="A84">
        <v>44</v>
      </c>
      <c r="B84">
        <v>74</v>
      </c>
      <c r="C84">
        <v>52</v>
      </c>
      <c r="D84" s="15" t="s">
        <v>32</v>
      </c>
      <c r="E84">
        <f t="shared" si="2"/>
        <v>1.3111888111888114E-2</v>
      </c>
      <c r="G84">
        <f>GEOMEAN(E84,E85)</f>
        <v>1.4153462926807451E-2</v>
      </c>
    </row>
    <row r="85" spans="1:7" ht="14" x14ac:dyDescent="0.15">
      <c r="A85">
        <v>48</v>
      </c>
      <c r="B85">
        <v>59</v>
      </c>
      <c r="C85">
        <v>15</v>
      </c>
      <c r="D85" s="15" t="s">
        <v>38</v>
      </c>
      <c r="E85">
        <f t="shared" si="2"/>
        <v>1.5277777777777782E-2</v>
      </c>
    </row>
    <row r="86" spans="1:7" ht="14" x14ac:dyDescent="0.15">
      <c r="A86">
        <v>18</v>
      </c>
      <c r="B86">
        <v>48</v>
      </c>
      <c r="C86">
        <v>86</v>
      </c>
      <c r="D86" t="s">
        <v>32</v>
      </c>
      <c r="E86">
        <f t="shared" si="2"/>
        <v>1.937984496124031E-2</v>
      </c>
    </row>
    <row r="87" spans="1:7" ht="14" x14ac:dyDescent="0.15">
      <c r="A87">
        <v>42</v>
      </c>
      <c r="B87">
        <v>63</v>
      </c>
      <c r="C87">
        <v>25</v>
      </c>
      <c r="D87" t="s">
        <v>32</v>
      </c>
      <c r="E87">
        <f t="shared" si="2"/>
        <v>0.02</v>
      </c>
    </row>
    <row r="88" spans="1:7" ht="14" x14ac:dyDescent="0.15">
      <c r="A88">
        <v>11</v>
      </c>
      <c r="B88">
        <v>18</v>
      </c>
      <c r="C88">
        <v>28</v>
      </c>
      <c r="D88" t="s">
        <v>32</v>
      </c>
      <c r="E88">
        <f t="shared" si="2"/>
        <v>2.2727272727272731E-2</v>
      </c>
    </row>
    <row r="89" spans="1:7" ht="14" x14ac:dyDescent="0.15">
      <c r="A89">
        <v>11</v>
      </c>
      <c r="B89">
        <v>36</v>
      </c>
      <c r="C89">
        <v>94</v>
      </c>
      <c r="D89" t="s">
        <v>32</v>
      </c>
      <c r="E89">
        <f t="shared" si="2"/>
        <v>2.4177949709864605E-2</v>
      </c>
    </row>
    <row r="90" spans="1:7" ht="14" x14ac:dyDescent="0.15">
      <c r="A90">
        <v>11</v>
      </c>
      <c r="B90">
        <v>41</v>
      </c>
      <c r="C90">
        <v>102</v>
      </c>
      <c r="D90" s="15" t="s">
        <v>32</v>
      </c>
      <c r="E90">
        <f t="shared" si="2"/>
        <v>2.6737967914438502E-2</v>
      </c>
      <c r="G90">
        <f>GEOMEAN(E90,E91)</f>
        <v>3.0576036090741478E-2</v>
      </c>
    </row>
    <row r="91" spans="1:7" ht="14" x14ac:dyDescent="0.15">
      <c r="A91">
        <v>11</v>
      </c>
      <c r="B91">
        <v>16</v>
      </c>
      <c r="C91">
        <v>13</v>
      </c>
      <c r="D91" s="15" t="s">
        <v>38</v>
      </c>
      <c r="E91">
        <f t="shared" si="2"/>
        <v>3.4965034965034968E-2</v>
      </c>
    </row>
    <row r="92" spans="1:7" ht="14" x14ac:dyDescent="0.15">
      <c r="A92">
        <v>12</v>
      </c>
      <c r="B92">
        <v>31</v>
      </c>
      <c r="C92">
        <v>43</v>
      </c>
      <c r="D92" t="s">
        <v>32</v>
      </c>
      <c r="E92">
        <f t="shared" si="2"/>
        <v>3.6821705426356592E-2</v>
      </c>
    </row>
    <row r="93" spans="1:7" ht="14" x14ac:dyDescent="0.15">
      <c r="A93">
        <v>14</v>
      </c>
      <c r="B93">
        <v>42</v>
      </c>
      <c r="C93">
        <v>52</v>
      </c>
      <c r="D93" t="s">
        <v>32</v>
      </c>
      <c r="E93">
        <f t="shared" si="2"/>
        <v>3.8461538461538464E-2</v>
      </c>
    </row>
    <row r="94" spans="1:7" ht="14" x14ac:dyDescent="0.15">
      <c r="A94">
        <v>27</v>
      </c>
      <c r="B94">
        <v>50</v>
      </c>
      <c r="C94">
        <v>21</v>
      </c>
      <c r="D94" t="s">
        <v>32</v>
      </c>
      <c r="E94">
        <f t="shared" si="2"/>
        <v>4.0564373897707229E-2</v>
      </c>
    </row>
    <row r="95" spans="1:7" ht="14" x14ac:dyDescent="0.15">
      <c r="A95">
        <v>10</v>
      </c>
      <c r="B95">
        <v>34</v>
      </c>
      <c r="C95">
        <v>58</v>
      </c>
      <c r="D95" t="s">
        <v>32</v>
      </c>
      <c r="E95">
        <f t="shared" si="2"/>
        <v>4.1379310344827586E-2</v>
      </c>
    </row>
    <row r="96" spans="1:7" ht="14" x14ac:dyDescent="0.15">
      <c r="A96">
        <v>13</v>
      </c>
      <c r="B96">
        <v>42</v>
      </c>
      <c r="C96">
        <v>52</v>
      </c>
      <c r="D96" t="s">
        <v>32</v>
      </c>
      <c r="E96">
        <f t="shared" si="2"/>
        <v>4.2899408284023673E-2</v>
      </c>
    </row>
    <row r="97" spans="1:7" ht="14" x14ac:dyDescent="0.15">
      <c r="A97">
        <v>58</v>
      </c>
      <c r="B97">
        <v>88</v>
      </c>
      <c r="C97">
        <v>7</v>
      </c>
      <c r="D97" t="s">
        <v>32</v>
      </c>
      <c r="E97">
        <f t="shared" si="2"/>
        <v>7.389162561576354E-2</v>
      </c>
    </row>
    <row r="98" spans="1:7" ht="14" x14ac:dyDescent="0.15">
      <c r="A98">
        <v>18</v>
      </c>
      <c r="B98">
        <v>35</v>
      </c>
      <c r="C98">
        <v>11</v>
      </c>
      <c r="D98" t="s">
        <v>32</v>
      </c>
      <c r="E98">
        <f t="shared" si="2"/>
        <v>8.5858585858585856E-2</v>
      </c>
    </row>
    <row r="99" spans="1:7" ht="14" x14ac:dyDescent="0.15">
      <c r="A99">
        <v>15</v>
      </c>
      <c r="B99">
        <v>35</v>
      </c>
      <c r="C99">
        <v>13</v>
      </c>
      <c r="D99" t="s">
        <v>32</v>
      </c>
      <c r="E99">
        <f t="shared" si="2"/>
        <v>0.10256410256410257</v>
      </c>
    </row>
    <row r="100" spans="1:7" ht="14" x14ac:dyDescent="0.15">
      <c r="A100">
        <v>17</v>
      </c>
      <c r="B100">
        <v>41</v>
      </c>
      <c r="C100">
        <v>6</v>
      </c>
      <c r="D100" t="s">
        <v>32</v>
      </c>
      <c r="E100">
        <f t="shared" si="2"/>
        <v>0.23529411764705879</v>
      </c>
    </row>
    <row r="101" spans="1:7" ht="14" x14ac:dyDescent="0.15">
      <c r="A101">
        <v>11</v>
      </c>
      <c r="B101">
        <v>30</v>
      </c>
      <c r="C101">
        <v>7</v>
      </c>
      <c r="D101" t="s">
        <v>32</v>
      </c>
      <c r="E101">
        <f t="shared" si="2"/>
        <v>0.24675324675324672</v>
      </c>
    </row>
    <row r="104" spans="1:7" ht="14" x14ac:dyDescent="0.15">
      <c r="F104" s="14" t="s">
        <v>41</v>
      </c>
      <c r="G104">
        <f>AVERAGE(G4,G8,G10,G12,G17,G20,G23,G25,G27,G30,G32,G34,G36,G38,G42,G45,G48,G50,G52,G54,G58,G60,G63,G65,G70,G72,G76,G81,G84,G90)</f>
        <v>4.5857154731030088E-3</v>
      </c>
    </row>
  </sheetData>
  <sortState xmlns:xlrd2="http://schemas.microsoft.com/office/spreadsheetml/2017/richdata2" ref="A2:E102">
    <sortCondition ref="E1:E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2025-11-03T11:27:56Z</dcterms:modified>
</cp:coreProperties>
</file>